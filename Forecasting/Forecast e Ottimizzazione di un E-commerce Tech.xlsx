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4fbaa0ee462193b/Desktop/Esercitazioni Excel/"/>
    </mc:Choice>
  </mc:AlternateContent>
  <xr:revisionPtr revIDLastSave="756" documentId="8_{4304B3B6-F29E-4447-B9A6-90A3E0C1DA8A}" xr6:coauthVersionLast="47" xr6:coauthVersionMax="47" xr10:uidLastSave="{51A7CAC8-18FC-481A-9307-2B3D1E77B10C}"/>
  <bookViews>
    <workbookView xWindow="-108" yWindow="-108" windowWidth="23256" windowHeight="12456" firstSheet="6" activeTab="8" xr2:uid="{DE833283-8DA2-46D0-BB8A-627D45FDB1EE}"/>
  </bookViews>
  <sheets>
    <sheet name="Forecast_Visitatori" sheetId="3" r:id="rId1"/>
    <sheet name="Forecast_Ricavi" sheetId="4" r:id="rId2"/>
    <sheet name="Forecast_Profitto" sheetId="5" r:id="rId3"/>
    <sheet name="Storico_Vendite" sheetId="1" r:id="rId4"/>
    <sheet name="Riepilogo scenari" sheetId="12" r:id="rId5"/>
    <sheet name="Gestione Scenari" sheetId="6" r:id="rId6"/>
    <sheet name="Goal_Seek" sheetId="13" r:id="rId7"/>
    <sheet name="Solver" sheetId="15" r:id="rId8"/>
    <sheet name="Data Tables" sheetId="16" r:id="rId9"/>
  </sheets>
  <definedNames>
    <definedName name="Commissione">'Gestione Scenari'!$B$6</definedName>
    <definedName name="ConversionRate">'Gestione Scenari'!$B$3</definedName>
    <definedName name="CostiAds">'Gestione Scenari'!$B$5</definedName>
    <definedName name="PrezzoMedio">'Gestione Scenari'!$B$4</definedName>
    <definedName name="solver_adj" localSheetId="7" hidden="1">Solver!$B$2:$B$5</definedName>
    <definedName name="solver_cvg" localSheetId="7" hidden="1">0.0001</definedName>
    <definedName name="solver_drv" localSheetId="7" hidden="1">2</definedName>
    <definedName name="solver_eng" localSheetId="7" hidden="1">1</definedName>
    <definedName name="solver_est" localSheetId="7" hidden="1">1</definedName>
    <definedName name="solver_itr" localSheetId="7" hidden="1">2147483647</definedName>
    <definedName name="solver_lhs1" localSheetId="7" hidden="1">Solver!$B$2</definedName>
    <definedName name="solver_lhs2" localSheetId="7" hidden="1">Solver!$B$4</definedName>
    <definedName name="solver_lhs3" localSheetId="7" hidden="1">Solver!$B$5</definedName>
    <definedName name="solver_lhs4" localSheetId="7" hidden="1">Solver!$B$6</definedName>
    <definedName name="solver_mip" localSheetId="7" hidden="1">2147483647</definedName>
    <definedName name="solver_mni" localSheetId="7" hidden="1">30</definedName>
    <definedName name="solver_mrt" localSheetId="7" hidden="1">0.075</definedName>
    <definedName name="solver_msl" localSheetId="7" hidden="1">2</definedName>
    <definedName name="solver_neg" localSheetId="7" hidden="1">1</definedName>
    <definedName name="solver_nod" localSheetId="7" hidden="1">2147483647</definedName>
    <definedName name="solver_num" localSheetId="7" hidden="1">4</definedName>
    <definedName name="solver_nwt" localSheetId="7" hidden="1">1</definedName>
    <definedName name="solver_opt" localSheetId="7" hidden="1">Solver!$B$9</definedName>
    <definedName name="solver_pre" localSheetId="7" hidden="1">0.000001</definedName>
    <definedName name="solver_rbv" localSheetId="7" hidden="1">2</definedName>
    <definedName name="solver_rel1" localSheetId="7" hidden="1">3</definedName>
    <definedName name="solver_rel2" localSheetId="7" hidden="1">1</definedName>
    <definedName name="solver_rel3" localSheetId="7" hidden="1">3</definedName>
    <definedName name="solver_rel4" localSheetId="7" hidden="1">1</definedName>
    <definedName name="solver_rhs1" localSheetId="7" hidden="1">Solver!$E$8</definedName>
    <definedName name="solver_rhs2" localSheetId="7" hidden="1">Solver!$E$7</definedName>
    <definedName name="solver_rhs3" localSheetId="7" hidden="1">5000</definedName>
    <definedName name="solver_rhs4" localSheetId="7" hidden="1">Solver!$E$2</definedName>
    <definedName name="solver_rlx" localSheetId="7" hidden="1">2</definedName>
    <definedName name="solver_rsd" localSheetId="7" hidden="1">0</definedName>
    <definedName name="solver_scl" localSheetId="7" hidden="1">2</definedName>
    <definedName name="solver_sho" localSheetId="7" hidden="1">2</definedName>
    <definedName name="solver_ssz" localSheetId="7" hidden="1">100</definedName>
    <definedName name="solver_tim" localSheetId="7" hidden="1">2147483647</definedName>
    <definedName name="solver_tol" localSheetId="7" hidden="1">0.01</definedName>
    <definedName name="solver_typ" localSheetId="7" hidden="1">1</definedName>
    <definedName name="solver_val" localSheetId="7" hidden="1">0</definedName>
    <definedName name="solver_ver" localSheetId="7" hidden="1">3</definedName>
    <definedName name="Visitatori">'Gestione Scenari'!$B$2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9" i="16" l="1"/>
  <c r="E1" i="16" s="1"/>
  <c r="E8" i="15"/>
  <c r="D3" i="15"/>
  <c r="D4" i="15"/>
  <c r="D5" i="15"/>
  <c r="D2" i="15"/>
  <c r="B9" i="13"/>
  <c r="B9" i="6"/>
  <c r="D6" i="15" l="1"/>
  <c r="H3" i="1" l="1"/>
  <c r="H4" i="1"/>
  <c r="H5" i="1"/>
  <c r="H6" i="1"/>
  <c r="H7" i="1"/>
  <c r="H8" i="1"/>
  <c r="H9" i="1"/>
  <c r="H10" i="1"/>
  <c r="H11" i="1"/>
  <c r="H12" i="1"/>
  <c r="H13" i="1"/>
  <c r="H2" i="1"/>
  <c r="G3" i="1"/>
  <c r="G4" i="1"/>
  <c r="G5" i="1"/>
  <c r="G6" i="1"/>
  <c r="G7" i="1"/>
  <c r="G8" i="1"/>
  <c r="G9" i="1"/>
  <c r="G10" i="1"/>
  <c r="G11" i="1"/>
  <c r="G12" i="1"/>
  <c r="G13" i="1"/>
  <c r="G2" i="1"/>
  <c r="F3" i="1"/>
  <c r="F4" i="1"/>
  <c r="F5" i="1"/>
  <c r="F6" i="1"/>
  <c r="F7" i="1"/>
  <c r="F8" i="1"/>
  <c r="F9" i="1"/>
  <c r="F10" i="1"/>
  <c r="F11" i="1"/>
  <c r="F12" i="1"/>
  <c r="F13" i="1"/>
  <c r="F2" i="1"/>
  <c r="C14" i="5"/>
  <c r="C15" i="5"/>
  <c r="C16" i="5"/>
  <c r="C18" i="5"/>
  <c r="C19" i="5"/>
  <c r="C20" i="5"/>
  <c r="C17" i="5"/>
  <c r="C14" i="4"/>
  <c r="C19" i="4"/>
  <c r="C15" i="4"/>
  <c r="C20" i="4"/>
  <c r="C16" i="4"/>
  <c r="C17" i="4"/>
  <c r="C18" i="4"/>
  <c r="C14" i="3"/>
  <c r="C15" i="3"/>
  <c r="C16" i="3"/>
  <c r="C17" i="3"/>
  <c r="C18" i="3"/>
  <c r="C19" i="3"/>
  <c r="C20" i="3"/>
  <c r="E17" i="5" l="1"/>
  <c r="E14" i="5"/>
  <c r="D16" i="5"/>
  <c r="D17" i="5"/>
  <c r="D14" i="5"/>
  <c r="D20" i="5"/>
  <c r="E20" i="5"/>
  <c r="D19" i="5"/>
  <c r="E19" i="5"/>
  <c r="E18" i="5"/>
  <c r="D18" i="5"/>
  <c r="E16" i="5"/>
  <c r="E15" i="5"/>
  <c r="D15" i="5"/>
  <c r="E18" i="4"/>
  <c r="D14" i="4"/>
  <c r="E17" i="4"/>
  <c r="D20" i="4"/>
  <c r="D15" i="4"/>
  <c r="E19" i="4"/>
  <c r="D18" i="4"/>
  <c r="E14" i="4"/>
  <c r="D16" i="4"/>
  <c r="E15" i="4"/>
  <c r="D17" i="4"/>
  <c r="E16" i="4"/>
  <c r="E20" i="4"/>
  <c r="D19" i="4"/>
  <c r="D20" i="3"/>
  <c r="E14" i="3"/>
  <c r="E20" i="3"/>
  <c r="D14" i="3"/>
  <c r="E19" i="3"/>
  <c r="D19" i="3"/>
  <c r="E18" i="3"/>
  <c r="D18" i="3"/>
  <c r="E16" i="3"/>
  <c r="D15" i="3"/>
  <c r="D17" i="3"/>
  <c r="D16" i="3"/>
  <c r="E15" i="3"/>
  <c r="E17" i="3"/>
  <c r="B6" i="15" l="1"/>
  <c r="E7" i="15" l="1"/>
  <c r="B9" i="15"/>
</calcChain>
</file>

<file path=xl/sharedStrings.xml><?xml version="1.0" encoding="utf-8"?>
<sst xmlns="http://schemas.openxmlformats.org/spreadsheetml/2006/main" count="77" uniqueCount="52">
  <si>
    <t>Mese</t>
  </si>
  <si>
    <t>Visitatori</t>
  </si>
  <si>
    <t>Conv. Rate</t>
  </si>
  <si>
    <t>Prezzo Medio</t>
  </si>
  <si>
    <t>Costi Ads</t>
  </si>
  <si>
    <t>Ordini</t>
  </si>
  <si>
    <t>Ricavi</t>
  </si>
  <si>
    <t>Profitto</t>
  </si>
  <si>
    <t>Costo medio per ordine</t>
  </si>
  <si>
    <t>Previsione(Visitatori)</t>
  </si>
  <si>
    <t>Limite di confidenza inferiore(Visitatori)</t>
  </si>
  <si>
    <t>Limite di confidenza superiore(Visitatori)</t>
  </si>
  <si>
    <t>Previsione(Ricavi)</t>
  </si>
  <si>
    <t>Limite di confidenza inferiore(Ricavi)</t>
  </si>
  <si>
    <t>Limite di confidenza superiore(Ricavi)</t>
  </si>
  <si>
    <t>Previsione(Profitto)</t>
  </si>
  <si>
    <t>Limite di confidenza inferiore(Profitto)</t>
  </si>
  <si>
    <t>Limite di confidenza superiore(Profitto)</t>
  </si>
  <si>
    <t>Conversion Rate</t>
  </si>
  <si>
    <t>Prezzo medio</t>
  </si>
  <si>
    <t>Commissione Marketplace</t>
  </si>
  <si>
    <t>PROFITTO</t>
  </si>
  <si>
    <t>ConversionRate</t>
  </si>
  <si>
    <t>PrezzoMedio</t>
  </si>
  <si>
    <t>CostiAds</t>
  </si>
  <si>
    <t>Commissione</t>
  </si>
  <si>
    <t>Scenario Base</t>
  </si>
  <si>
    <t>Creato da: Riccardo Izzi il 16/05/2026</t>
  </si>
  <si>
    <t>Riepilogo scenari</t>
  </si>
  <si>
    <t>Celle variabili:</t>
  </si>
  <si>
    <t>Valori correnti:</t>
  </si>
  <si>
    <t>Celle risultato:</t>
  </si>
  <si>
    <t>Note: la colonna Valori correnti riporta i valori delle celle variabili nel</t>
  </si>
  <si>
    <t>momento in cui il Riepilogo scenari è stato creato. Le celle variabili</t>
  </si>
  <si>
    <t>sono evidenziate in grigio.</t>
  </si>
  <si>
    <t>Crescita aggressiva</t>
  </si>
  <si>
    <t>Crisi Economica</t>
  </si>
  <si>
    <t>Shock Scenario</t>
  </si>
  <si>
    <t>$B$9</t>
  </si>
  <si>
    <t>Scenario Crescita Aggressiva</t>
  </si>
  <si>
    <t>Scenario Crisi Economica</t>
  </si>
  <si>
    <t>Creato da: Riccardo Izzi il 16/05/2026
Modificato da: Riccardo Izzi il 16/05/2026</t>
  </si>
  <si>
    <t>Google Ads</t>
  </si>
  <si>
    <t>Meta Ads</t>
  </si>
  <si>
    <t>TikTok Ads</t>
  </si>
  <si>
    <t>Influencer</t>
  </si>
  <si>
    <t>Budget</t>
  </si>
  <si>
    <t>ROAS Stimato</t>
  </si>
  <si>
    <t>Canale</t>
  </si>
  <si>
    <t>Variabile</t>
  </si>
  <si>
    <t>Valore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</si>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</sst>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9" formatCode="_-* #,##0\ &quot;€&quot;_-;\-* #,##0\ &quot;€&quot;_-;_-* &quot;-&quot;??\ &quot;€&quot;_-;_-@_-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2"/>
      <color indexed="9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b/>
      <sz val="11"/>
      <color indexed="18"/>
      <name val="Aptos Narrow"/>
      <family val="2"/>
      <scheme val="minor"/>
    </font>
    <font>
      <sz val="10"/>
      <color indexed="9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20"/>
      <color rgb="FFFF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1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10" fontId="0" fillId="0" borderId="0" xfId="0" applyNumberFormat="1" applyAlignment="1">
      <alignment horizontal="right" vertical="center" wrapText="1"/>
    </xf>
    <xf numFmtId="3" fontId="0" fillId="0" borderId="0" xfId="0" applyNumberFormat="1" applyAlignment="1">
      <alignment horizontal="right" vertical="center" wrapText="1"/>
    </xf>
    <xf numFmtId="169" fontId="0" fillId="0" borderId="0" xfId="1" applyNumberFormat="1" applyFont="1" applyAlignment="1">
      <alignment horizontal="right" vertical="center" wrapText="1"/>
    </xf>
    <xf numFmtId="3" fontId="0" fillId="0" borderId="0" xfId="0" applyNumberFormat="1"/>
    <xf numFmtId="169" fontId="0" fillId="0" borderId="0" xfId="0" applyNumberFormat="1"/>
    <xf numFmtId="0" fontId="2" fillId="0" borderId="0" xfId="0" applyFont="1" applyAlignment="1">
      <alignment vertical="center" wrapText="1"/>
    </xf>
    <xf numFmtId="3" fontId="2" fillId="0" borderId="0" xfId="0" applyNumberFormat="1" applyFont="1" applyAlignment="1">
      <alignment horizontal="right" vertical="center" wrapText="1"/>
    </xf>
    <xf numFmtId="14" fontId="0" fillId="0" borderId="0" xfId="0" applyNumberFormat="1" applyAlignment="1">
      <alignment vertical="center" wrapText="1"/>
    </xf>
    <xf numFmtId="14" fontId="0" fillId="0" borderId="0" xfId="0" applyNumberFormat="1"/>
    <xf numFmtId="3" fontId="3" fillId="3" borderId="1" xfId="0" applyNumberFormat="1" applyFont="1" applyFill="1" applyBorder="1"/>
    <xf numFmtId="10" fontId="3" fillId="3" borderId="1" xfId="0" applyNumberFormat="1" applyFont="1" applyFill="1" applyBorder="1"/>
    <xf numFmtId="169" fontId="3" fillId="3" borderId="1" xfId="1" applyNumberFormat="1" applyFont="1" applyFill="1" applyBorder="1"/>
    <xf numFmtId="9" fontId="3" fillId="3" borderId="1" xfId="0" applyNumberFormat="1" applyFont="1" applyFill="1" applyBorder="1"/>
    <xf numFmtId="0" fontId="4" fillId="2" borderId="1" xfId="0" applyFont="1" applyFill="1" applyBorder="1"/>
    <xf numFmtId="0" fontId="4" fillId="2" borderId="0" xfId="0" applyFont="1" applyFill="1" applyBorder="1"/>
    <xf numFmtId="169" fontId="2" fillId="0" borderId="0" xfId="0" applyNumberFormat="1" applyFont="1"/>
    <xf numFmtId="0" fontId="4" fillId="0" borderId="0" xfId="0" applyFont="1"/>
    <xf numFmtId="0" fontId="0" fillId="0" borderId="0" xfId="0" applyFill="1" applyBorder="1" applyAlignment="1"/>
    <xf numFmtId="3" fontId="0" fillId="0" borderId="0" xfId="0" applyNumberFormat="1" applyFill="1" applyBorder="1" applyAlignment="1"/>
    <xf numFmtId="10" fontId="0" fillId="0" borderId="0" xfId="0" applyNumberFormat="1" applyFill="1" applyBorder="1" applyAlignment="1"/>
    <xf numFmtId="169" fontId="0" fillId="0" borderId="0" xfId="0" applyNumberFormat="1" applyFill="1" applyBorder="1" applyAlignment="1"/>
    <xf numFmtId="9" fontId="0" fillId="0" borderId="0" xfId="0" applyNumberFormat="1" applyFill="1" applyBorder="1" applyAlignment="1"/>
    <xf numFmtId="0" fontId="0" fillId="0" borderId="3" xfId="0" applyFill="1" applyBorder="1" applyAlignment="1"/>
    <xf numFmtId="0" fontId="6" fillId="4" borderId="4" xfId="0" applyFont="1" applyFill="1" applyBorder="1" applyAlignment="1">
      <alignment horizontal="left"/>
    </xf>
    <xf numFmtId="0" fontId="6" fillId="4" borderId="2" xfId="0" applyFont="1" applyFill="1" applyBorder="1" applyAlignment="1">
      <alignment horizontal="left"/>
    </xf>
    <xf numFmtId="0" fontId="0" fillId="0" borderId="5" xfId="0" applyFill="1" applyBorder="1" applyAlignment="1"/>
    <xf numFmtId="0" fontId="7" fillId="5" borderId="0" xfId="0" applyFont="1" applyFill="1" applyBorder="1" applyAlignment="1">
      <alignment horizontal="left"/>
    </xf>
    <xf numFmtId="0" fontId="8" fillId="5" borderId="5" xfId="0" applyFont="1" applyFill="1" applyBorder="1" applyAlignment="1">
      <alignment horizontal="left"/>
    </xf>
    <xf numFmtId="0" fontId="7" fillId="5" borderId="3" xfId="0" applyFont="1" applyFill="1" applyBorder="1" applyAlignment="1">
      <alignment horizontal="left"/>
    </xf>
    <xf numFmtId="0" fontId="9" fillId="4" borderId="2" xfId="0" applyFont="1" applyFill="1" applyBorder="1" applyAlignment="1">
      <alignment horizontal="right"/>
    </xf>
    <xf numFmtId="0" fontId="9" fillId="4" borderId="4" xfId="0" applyFont="1" applyFill="1" applyBorder="1" applyAlignment="1">
      <alignment horizontal="right"/>
    </xf>
    <xf numFmtId="3" fontId="0" fillId="6" borderId="0" xfId="0" applyNumberFormat="1" applyFill="1" applyBorder="1" applyAlignment="1"/>
    <xf numFmtId="10" fontId="0" fillId="6" borderId="0" xfId="0" applyNumberFormat="1" applyFill="1" applyBorder="1" applyAlignment="1"/>
    <xf numFmtId="169" fontId="0" fillId="6" borderId="0" xfId="0" applyNumberFormat="1" applyFill="1" applyBorder="1" applyAlignment="1"/>
    <xf numFmtId="9" fontId="0" fillId="6" borderId="0" xfId="0" applyNumberFormat="1" applyFill="1" applyBorder="1" applyAlignment="1"/>
    <xf numFmtId="0" fontId="10" fillId="0" borderId="0" xfId="0" applyFont="1" applyFill="1" applyBorder="1" applyAlignment="1">
      <alignment vertical="top" wrapText="1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/>
    <xf numFmtId="44" fontId="4" fillId="0" borderId="0" xfId="0" applyNumberFormat="1" applyFont="1"/>
    <xf numFmtId="0" fontId="11" fillId="2" borderId="1" xfId="0" applyFont="1" applyFill="1" applyBorder="1"/>
    <xf numFmtId="0" fontId="11" fillId="2" borderId="6" xfId="0" applyFont="1" applyFill="1" applyBorder="1"/>
    <xf numFmtId="0" fontId="11" fillId="2" borderId="7" xfId="0" applyFont="1" applyFill="1" applyBorder="1"/>
    <xf numFmtId="44" fontId="4" fillId="2" borderId="1" xfId="1" applyFont="1" applyFill="1" applyBorder="1"/>
    <xf numFmtId="9" fontId="0" fillId="0" borderId="0" xfId="0" applyNumberFormat="1" applyAlignment="1">
      <alignment vertical="center" wrapText="1"/>
    </xf>
    <xf numFmtId="9" fontId="4" fillId="2" borderId="0" xfId="0" applyNumberFormat="1" applyFont="1" applyFill="1" applyAlignment="1">
      <alignment vertical="center" wrapText="1"/>
    </xf>
    <xf numFmtId="10" fontId="4" fillId="2" borderId="0" xfId="0" applyNumberFormat="1" applyFont="1" applyFill="1" applyAlignment="1">
      <alignment vertical="center" wrapText="1"/>
    </xf>
    <xf numFmtId="0" fontId="3" fillId="3" borderId="0" xfId="0" applyFont="1" applyFill="1"/>
  </cellXfs>
  <cellStyles count="2">
    <cellStyle name="Normale" xfId="0" builtinId="0"/>
    <cellStyle name="Valuta" xfId="1" builtinId="4"/>
  </cellStyles>
  <dxfs count="12">
    <dxf>
      <numFmt numFmtId="169" formatCode="_-* #,##0\ &quot;€&quot;_-;\-* #,##0\ &quot;€&quot;_-;_-* &quot;-&quot;??\ &quot;€&quot;_-;_-@_-"/>
    </dxf>
    <dxf>
      <numFmt numFmtId="169" formatCode="_-* #,##0\ &quot;€&quot;_-;\-* #,##0\ &quot;€&quot;_-;_-* &quot;-&quot;??\ &quot;€&quot;_-;_-@_-"/>
    </dxf>
    <dxf>
      <numFmt numFmtId="169" formatCode="_-* #,##0\ &quot;€&quot;_-;\-* #,##0\ &quot;€&quot;_-;_-* &quot;-&quot;??\ &quot;€&quot;_-;_-@_-"/>
    </dxf>
    <dxf>
      <numFmt numFmtId="19" formatCode="dd/mm/yyyy"/>
    </dxf>
    <dxf>
      <numFmt numFmtId="169" formatCode="_-* #,##0\ &quot;€&quot;_-;\-* #,##0\ &quot;€&quot;_-;_-* &quot;-&quot;??\ &quot;€&quot;_-;_-@_-"/>
    </dxf>
    <dxf>
      <numFmt numFmtId="169" formatCode="_-* #,##0\ &quot;€&quot;_-;\-* #,##0\ &quot;€&quot;_-;_-* &quot;-&quot;??\ &quot;€&quot;_-;_-@_-"/>
    </dxf>
    <dxf>
      <numFmt numFmtId="169" formatCode="_-* #,##0\ &quot;€&quot;_-;\-* #,##0\ &quot;€&quot;_-;_-* &quot;-&quot;??\ &quot;€&quot;_-;_-@_-"/>
    </dxf>
    <dxf>
      <numFmt numFmtId="19" formatCode="dd/mm/yyyy"/>
    </dxf>
    <dxf>
      <numFmt numFmtId="3" formatCode="#,##0"/>
    </dxf>
    <dxf>
      <numFmt numFmtId="3" formatCode="#,##0"/>
    </dxf>
    <dxf>
      <numFmt numFmtId="3" formatCode="#,##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Forecast_Visitatori!$B$1</c:f>
              <c:strCache>
                <c:ptCount val="1"/>
                <c:pt idx="0">
                  <c:v>Visitatori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Forecast_Visitatori!$B$2:$B$20</c:f>
              <c:numCache>
                <c:formatCode>#,##0</c:formatCode>
                <c:ptCount val="19"/>
                <c:pt idx="0">
                  <c:v>18000</c:v>
                </c:pt>
                <c:pt idx="1">
                  <c:v>19500</c:v>
                </c:pt>
                <c:pt idx="2">
                  <c:v>21000</c:v>
                </c:pt>
                <c:pt idx="3">
                  <c:v>22000</c:v>
                </c:pt>
                <c:pt idx="4">
                  <c:v>24000</c:v>
                </c:pt>
                <c:pt idx="5">
                  <c:v>25500</c:v>
                </c:pt>
                <c:pt idx="6">
                  <c:v>26500</c:v>
                </c:pt>
                <c:pt idx="7">
                  <c:v>25000</c:v>
                </c:pt>
                <c:pt idx="8">
                  <c:v>27500</c:v>
                </c:pt>
                <c:pt idx="9">
                  <c:v>29500</c:v>
                </c:pt>
                <c:pt idx="10">
                  <c:v>34000</c:v>
                </c:pt>
                <c:pt idx="11">
                  <c:v>41000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BE-4666-862F-473D041D23A5}"/>
            </c:ext>
          </c:extLst>
        </c:ser>
        <c:ser>
          <c:idx val="1"/>
          <c:order val="1"/>
          <c:tx>
            <c:strRef>
              <c:f>Forecast_Visitatori!$C$1</c:f>
              <c:strCache>
                <c:ptCount val="1"/>
                <c:pt idx="0">
                  <c:v>Previsione(Visitatori)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Forecast_Visitatori!$A$2:$A$20</c:f>
              <c:numCache>
                <c:formatCode>m/d/yyyy</c:formatCode>
                <c:ptCount val="19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  <c:pt idx="12">
                  <c:v>46388</c:v>
                </c:pt>
                <c:pt idx="13">
                  <c:v>46419</c:v>
                </c:pt>
                <c:pt idx="14">
                  <c:v>46447</c:v>
                </c:pt>
                <c:pt idx="15">
                  <c:v>46478</c:v>
                </c:pt>
                <c:pt idx="16">
                  <c:v>46508</c:v>
                </c:pt>
                <c:pt idx="17">
                  <c:v>46539</c:v>
                </c:pt>
                <c:pt idx="18">
                  <c:v>46568</c:v>
                </c:pt>
              </c:numCache>
            </c:numRef>
          </c:cat>
          <c:val>
            <c:numRef>
              <c:f>Forecast_Visitatori!$C$2:$C$20</c:f>
              <c:numCache>
                <c:formatCode>General</c:formatCode>
                <c:ptCount val="19"/>
                <c:pt idx="11" formatCode="#,##0">
                  <c:v>41000</c:v>
                </c:pt>
                <c:pt idx="12" formatCode="#,##0">
                  <c:v>37186.502590549324</c:v>
                </c:pt>
                <c:pt idx="13" formatCode="#,##0">
                  <c:v>38840.313754531089</c:v>
                </c:pt>
                <c:pt idx="14" formatCode="#,##0">
                  <c:v>40494.124918512847</c:v>
                </c:pt>
                <c:pt idx="15" formatCode="#,##0">
                  <c:v>42147.936082494612</c:v>
                </c:pt>
                <c:pt idx="16" formatCode="#,##0">
                  <c:v>43801.74724647637</c:v>
                </c:pt>
                <c:pt idx="17" formatCode="#,##0">
                  <c:v>45455.558410458136</c:v>
                </c:pt>
                <c:pt idx="18" formatCode="#,##0">
                  <c:v>47054.2425356405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9BE-4666-862F-473D041D23A5}"/>
            </c:ext>
          </c:extLst>
        </c:ser>
        <c:ser>
          <c:idx val="2"/>
          <c:order val="2"/>
          <c:tx>
            <c:strRef>
              <c:f>Forecast_Visitatori!$D$1</c:f>
              <c:strCache>
                <c:ptCount val="1"/>
                <c:pt idx="0">
                  <c:v>Limite di confidenza inferiore(Visitatori)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Forecast_Visitatori!$A$2:$A$20</c:f>
              <c:numCache>
                <c:formatCode>m/d/yyyy</c:formatCode>
                <c:ptCount val="19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  <c:pt idx="12">
                  <c:v>46388</c:v>
                </c:pt>
                <c:pt idx="13">
                  <c:v>46419</c:v>
                </c:pt>
                <c:pt idx="14">
                  <c:v>46447</c:v>
                </c:pt>
                <c:pt idx="15">
                  <c:v>46478</c:v>
                </c:pt>
                <c:pt idx="16">
                  <c:v>46508</c:v>
                </c:pt>
                <c:pt idx="17">
                  <c:v>46539</c:v>
                </c:pt>
                <c:pt idx="18">
                  <c:v>46568</c:v>
                </c:pt>
              </c:numCache>
            </c:numRef>
          </c:cat>
          <c:val>
            <c:numRef>
              <c:f>Forecast_Visitatori!$D$2:$D$20</c:f>
              <c:numCache>
                <c:formatCode>General</c:formatCode>
                <c:ptCount val="19"/>
                <c:pt idx="11" formatCode="#,##0">
                  <c:v>41000</c:v>
                </c:pt>
                <c:pt idx="12" formatCode="#,##0">
                  <c:v>32373.104594270226</c:v>
                </c:pt>
                <c:pt idx="13" formatCode="#,##0">
                  <c:v>33988.253382879899</c:v>
                </c:pt>
                <c:pt idx="14" formatCode="#,##0">
                  <c:v>35603.103811036301</c:v>
                </c:pt>
                <c:pt idx="15" formatCode="#,##0">
                  <c:v>37217.658252687863</c:v>
                </c:pt>
                <c:pt idx="16" formatCode="#,##0">
                  <c:v>38831.919059943481</c:v>
                </c:pt>
                <c:pt idx="17" formatCode="#,##0">
                  <c:v>40445.888562543973</c:v>
                </c:pt>
                <c:pt idx="18" formatCode="#,##0">
                  <c:v>42005.774577752905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9BE-4666-862F-473D041D23A5}"/>
            </c:ext>
          </c:extLst>
        </c:ser>
        <c:ser>
          <c:idx val="3"/>
          <c:order val="3"/>
          <c:tx>
            <c:strRef>
              <c:f>Forecast_Visitatori!$E$1</c:f>
              <c:strCache>
                <c:ptCount val="1"/>
                <c:pt idx="0">
                  <c:v>Limite di confidenza superiore(Visitatori)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Forecast_Visitatori!$A$2:$A$20</c:f>
              <c:numCache>
                <c:formatCode>m/d/yyyy</c:formatCode>
                <c:ptCount val="19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  <c:pt idx="12">
                  <c:v>46388</c:v>
                </c:pt>
                <c:pt idx="13">
                  <c:v>46419</c:v>
                </c:pt>
                <c:pt idx="14">
                  <c:v>46447</c:v>
                </c:pt>
                <c:pt idx="15">
                  <c:v>46478</c:v>
                </c:pt>
                <c:pt idx="16">
                  <c:v>46508</c:v>
                </c:pt>
                <c:pt idx="17">
                  <c:v>46539</c:v>
                </c:pt>
                <c:pt idx="18">
                  <c:v>46568</c:v>
                </c:pt>
              </c:numCache>
            </c:numRef>
          </c:cat>
          <c:val>
            <c:numRef>
              <c:f>Forecast_Visitatori!$E$2:$E$20</c:f>
              <c:numCache>
                <c:formatCode>General</c:formatCode>
                <c:ptCount val="19"/>
                <c:pt idx="11" formatCode="#,##0">
                  <c:v>41000</c:v>
                </c:pt>
                <c:pt idx="12" formatCode="#,##0">
                  <c:v>41999.900586828422</c:v>
                </c:pt>
                <c:pt idx="13" formatCode="#,##0">
                  <c:v>43692.37412618228</c:v>
                </c:pt>
                <c:pt idx="14" formatCode="#,##0">
                  <c:v>45385.146025989394</c:v>
                </c:pt>
                <c:pt idx="15" formatCode="#,##0">
                  <c:v>47078.213912301362</c:v>
                </c:pt>
                <c:pt idx="16" formatCode="#,##0">
                  <c:v>48771.57543300926</c:v>
                </c:pt>
                <c:pt idx="17" formatCode="#,##0">
                  <c:v>50465.228258372299</c:v>
                </c:pt>
                <c:pt idx="18" formatCode="#,##0">
                  <c:v>52102.710493528095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9BE-4666-862F-473D041D23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36325391"/>
        <c:axId val="1836325871"/>
      </c:lineChart>
      <c:catAx>
        <c:axId val="1836325391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36325871"/>
        <c:crosses val="autoZero"/>
        <c:auto val="1"/>
        <c:lblAlgn val="ctr"/>
        <c:lblOffset val="100"/>
        <c:noMultiLvlLbl val="0"/>
      </c:catAx>
      <c:valAx>
        <c:axId val="1836325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363253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Forecast_Ricavi!$B$1</c:f>
              <c:strCache>
                <c:ptCount val="1"/>
                <c:pt idx="0">
                  <c:v>Ricavi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Forecast_Ricavi!$B$2:$B$20</c:f>
              <c:numCache>
                <c:formatCode>_-* #,##0\ "€"_-;\-* #,##0\ "€"_-;_-* "-"??\ "€"_-;_-@_-</c:formatCode>
                <c:ptCount val="19"/>
                <c:pt idx="0">
                  <c:v>31104</c:v>
                </c:pt>
                <c:pt idx="1">
                  <c:v>35100</c:v>
                </c:pt>
                <c:pt idx="2">
                  <c:v>40404</c:v>
                </c:pt>
                <c:pt idx="3">
                  <c:v>43956</c:v>
                </c:pt>
                <c:pt idx="4">
                  <c:v>50400</c:v>
                </c:pt>
                <c:pt idx="5">
                  <c:v>55462.5</c:v>
                </c:pt>
                <c:pt idx="6">
                  <c:v>60420</c:v>
                </c:pt>
                <c:pt idx="7">
                  <c:v>53200</c:v>
                </c:pt>
                <c:pt idx="8">
                  <c:v>66495</c:v>
                </c:pt>
                <c:pt idx="9">
                  <c:v>74576</c:v>
                </c:pt>
                <c:pt idx="10">
                  <c:v>97580</c:v>
                </c:pt>
                <c:pt idx="11">
                  <c:v>135915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33-4761-9CFC-C23F01412DB7}"/>
            </c:ext>
          </c:extLst>
        </c:ser>
        <c:ser>
          <c:idx val="1"/>
          <c:order val="1"/>
          <c:tx>
            <c:strRef>
              <c:f>Forecast_Ricavi!$C$1</c:f>
              <c:strCache>
                <c:ptCount val="1"/>
                <c:pt idx="0">
                  <c:v>Previsione(Ricavi)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Forecast_Ricavi!$A$2:$A$20</c:f>
              <c:numCache>
                <c:formatCode>m/d/yyyy</c:formatCode>
                <c:ptCount val="19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  <c:pt idx="12">
                  <c:v>46388</c:v>
                </c:pt>
                <c:pt idx="13">
                  <c:v>46419</c:v>
                </c:pt>
                <c:pt idx="14">
                  <c:v>46447</c:v>
                </c:pt>
                <c:pt idx="15">
                  <c:v>46478</c:v>
                </c:pt>
                <c:pt idx="16">
                  <c:v>46508</c:v>
                </c:pt>
                <c:pt idx="17">
                  <c:v>46539</c:v>
                </c:pt>
                <c:pt idx="18">
                  <c:v>46568</c:v>
                </c:pt>
              </c:numCache>
            </c:numRef>
          </c:cat>
          <c:val>
            <c:numRef>
              <c:f>Forecast_Ricavi!$C$2:$C$20</c:f>
              <c:numCache>
                <c:formatCode>General</c:formatCode>
                <c:ptCount val="19"/>
                <c:pt idx="11" formatCode="_-* #,##0\ &quot;€&quot;_-;\-* #,##0\ &quot;€&quot;_-;_-* &quot;-&quot;??\ &quot;€&quot;_-;_-@_-">
                  <c:v>135915</c:v>
                </c:pt>
                <c:pt idx="12" formatCode="_-* #,##0\ &quot;€&quot;_-;\-* #,##0\ &quot;€&quot;_-;_-* &quot;-&quot;??\ &quot;€&quot;_-;_-@_-">
                  <c:v>113396.44828408239</c:v>
                </c:pt>
                <c:pt idx="13" formatCode="_-* #,##0\ &quot;€&quot;_-;\-* #,##0\ &quot;€&quot;_-;_-* &quot;-&quot;??\ &quot;€&quot;_-;_-@_-">
                  <c:v>120652.40732918031</c:v>
                </c:pt>
                <c:pt idx="14" formatCode="_-* #,##0\ &quot;€&quot;_-;\-* #,##0\ &quot;€&quot;_-;_-* &quot;-&quot;??\ &quot;€&quot;_-;_-@_-">
                  <c:v>127908.36637427821</c:v>
                </c:pt>
                <c:pt idx="15" formatCode="_-* #,##0\ &quot;€&quot;_-;\-* #,##0\ &quot;€&quot;_-;_-* &quot;-&quot;??\ &quot;€&quot;_-;_-@_-">
                  <c:v>135164.32541937614</c:v>
                </c:pt>
                <c:pt idx="16" formatCode="_-* #,##0\ &quot;€&quot;_-;\-* #,##0\ &quot;€&quot;_-;_-* &quot;-&quot;??\ &quot;€&quot;_-;_-@_-">
                  <c:v>142420.28446447404</c:v>
                </c:pt>
                <c:pt idx="17" formatCode="_-* #,##0\ &quot;€&quot;_-;\-* #,##0\ &quot;€&quot;_-;_-* &quot;-&quot;??\ &quot;€&quot;_-;_-@_-">
                  <c:v>149676.24350957194</c:v>
                </c:pt>
                <c:pt idx="18" formatCode="_-* #,##0\ &quot;€&quot;_-;\-* #,##0\ &quot;€&quot;_-;_-* &quot;-&quot;??\ &quot;€&quot;_-;_-@_-">
                  <c:v>156690.3372531666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33-4761-9CFC-C23F01412DB7}"/>
            </c:ext>
          </c:extLst>
        </c:ser>
        <c:ser>
          <c:idx val="2"/>
          <c:order val="2"/>
          <c:tx>
            <c:strRef>
              <c:f>Forecast_Ricavi!$D$1</c:f>
              <c:strCache>
                <c:ptCount val="1"/>
                <c:pt idx="0">
                  <c:v>Limite di confidenza inferiore(Ricavi)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Forecast_Ricavi!$A$2:$A$20</c:f>
              <c:numCache>
                <c:formatCode>m/d/yyyy</c:formatCode>
                <c:ptCount val="19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  <c:pt idx="12">
                  <c:v>46388</c:v>
                </c:pt>
                <c:pt idx="13">
                  <c:v>46419</c:v>
                </c:pt>
                <c:pt idx="14">
                  <c:v>46447</c:v>
                </c:pt>
                <c:pt idx="15">
                  <c:v>46478</c:v>
                </c:pt>
                <c:pt idx="16">
                  <c:v>46508</c:v>
                </c:pt>
                <c:pt idx="17">
                  <c:v>46539</c:v>
                </c:pt>
                <c:pt idx="18">
                  <c:v>46568</c:v>
                </c:pt>
              </c:numCache>
            </c:numRef>
          </c:cat>
          <c:val>
            <c:numRef>
              <c:f>Forecast_Ricavi!$D$2:$D$20</c:f>
              <c:numCache>
                <c:formatCode>General</c:formatCode>
                <c:ptCount val="19"/>
                <c:pt idx="11" formatCode="_-* #,##0\ &quot;€&quot;_-;\-* #,##0\ &quot;€&quot;_-;_-* &quot;-&quot;??\ &quot;€&quot;_-;_-@_-">
                  <c:v>135915</c:v>
                </c:pt>
                <c:pt idx="12" formatCode="_-* #,##0\ &quot;€&quot;_-;\-* #,##0\ &quot;€&quot;_-;_-* &quot;-&quot;??\ &quot;€&quot;_-;_-@_-">
                  <c:v>85471.274183349</c:v>
                </c:pt>
                <c:pt idx="13" formatCode="_-* #,##0\ &quot;€&quot;_-;\-* #,##0\ &quot;€&quot;_-;_-* &quot;-&quot;??\ &quot;€&quot;_-;_-@_-">
                  <c:v>91861.011125962512</c:v>
                </c:pt>
                <c:pt idx="14" formatCode="_-* #,##0\ &quot;€&quot;_-;\-* #,##0\ &quot;€&quot;_-;_-* &quot;-&quot;??\ &quot;€&quot;_-;_-@_-">
                  <c:v>98269.441136925525</c:v>
                </c:pt>
                <c:pt idx="15" formatCode="_-* #,##0\ &quot;€&quot;_-;\-* #,##0\ &quot;€&quot;_-;_-* &quot;-&quot;??\ &quot;€&quot;_-;_-@_-">
                  <c:v>104694.97869400114</c:v>
                </c:pt>
                <c:pt idx="16" formatCode="_-* #,##0\ &quot;€&quot;_-;\-* #,##0\ &quot;€&quot;_-;_-* &quot;-&quot;??\ &quot;€&quot;_-;_-@_-">
                  <c:v>111136.23650231645</c:v>
                </c:pt>
                <c:pt idx="17" formatCode="_-* #,##0\ &quot;€&quot;_-;\-* #,##0\ &quot;€&quot;_-;_-* &quot;-&quot;??\ &quot;€&quot;_-;_-@_-">
                  <c:v>117591.99270113872</c:v>
                </c:pt>
                <c:pt idx="18" formatCode="_-* #,##0\ &quot;€&quot;_-;\-* #,##0\ &quot;€&quot;_-;_-* &quot;-&quot;??\ &quot;€&quot;_-;_-@_-">
                  <c:v>123845.22199992588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B33-4761-9CFC-C23F01412DB7}"/>
            </c:ext>
          </c:extLst>
        </c:ser>
        <c:ser>
          <c:idx val="3"/>
          <c:order val="3"/>
          <c:tx>
            <c:strRef>
              <c:f>Forecast_Ricavi!$E$1</c:f>
              <c:strCache>
                <c:ptCount val="1"/>
                <c:pt idx="0">
                  <c:v>Limite di confidenza superiore(Ricavi)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Forecast_Ricavi!$A$2:$A$20</c:f>
              <c:numCache>
                <c:formatCode>m/d/yyyy</c:formatCode>
                <c:ptCount val="19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  <c:pt idx="12">
                  <c:v>46388</c:v>
                </c:pt>
                <c:pt idx="13">
                  <c:v>46419</c:v>
                </c:pt>
                <c:pt idx="14">
                  <c:v>46447</c:v>
                </c:pt>
                <c:pt idx="15">
                  <c:v>46478</c:v>
                </c:pt>
                <c:pt idx="16">
                  <c:v>46508</c:v>
                </c:pt>
                <c:pt idx="17">
                  <c:v>46539</c:v>
                </c:pt>
                <c:pt idx="18">
                  <c:v>46568</c:v>
                </c:pt>
              </c:numCache>
            </c:numRef>
          </c:cat>
          <c:val>
            <c:numRef>
              <c:f>Forecast_Ricavi!$E$2:$E$20</c:f>
              <c:numCache>
                <c:formatCode>General</c:formatCode>
                <c:ptCount val="19"/>
                <c:pt idx="11" formatCode="_-* #,##0\ &quot;€&quot;_-;\-* #,##0\ &quot;€&quot;_-;_-* &quot;-&quot;??\ &quot;€&quot;_-;_-@_-">
                  <c:v>135915</c:v>
                </c:pt>
                <c:pt idx="12" formatCode="_-* #,##0\ &quot;€&quot;_-;\-* #,##0\ &quot;€&quot;_-;_-* &quot;-&quot;??\ &quot;€&quot;_-;_-@_-">
                  <c:v>141321.62238481577</c:v>
                </c:pt>
                <c:pt idx="13" formatCode="_-* #,##0\ &quot;€&quot;_-;\-* #,##0\ &quot;€&quot;_-;_-* &quot;-&quot;??\ &quot;€&quot;_-;_-@_-">
                  <c:v>149443.8035323981</c:v>
                </c:pt>
                <c:pt idx="14" formatCode="_-* #,##0\ &quot;€&quot;_-;\-* #,##0\ &quot;€&quot;_-;_-* &quot;-&quot;??\ &quot;€&quot;_-;_-@_-">
                  <c:v>157547.29161163091</c:v>
                </c:pt>
                <c:pt idx="15" formatCode="_-* #,##0\ &quot;€&quot;_-;\-* #,##0\ &quot;€&quot;_-;_-* &quot;-&quot;??\ &quot;€&quot;_-;_-@_-">
                  <c:v>165633.67214475115</c:v>
                </c:pt>
                <c:pt idx="16" formatCode="_-* #,##0\ &quot;€&quot;_-;\-* #,##0\ &quot;€&quot;_-;_-* &quot;-&quot;??\ &quot;€&quot;_-;_-@_-">
                  <c:v>173704.33242663165</c:v>
                </c:pt>
                <c:pt idx="17" formatCode="_-* #,##0\ &quot;€&quot;_-;\-* #,##0\ &quot;€&quot;_-;_-* &quot;-&quot;??\ &quot;€&quot;_-;_-@_-">
                  <c:v>181760.49431800516</c:v>
                </c:pt>
                <c:pt idx="18" formatCode="_-* #,##0\ &quot;€&quot;_-;\-* #,##0\ &quot;€&quot;_-;_-* &quot;-&quot;??\ &quot;€&quot;_-;_-@_-">
                  <c:v>189535.45250640731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B33-4761-9CFC-C23F01412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36993167"/>
        <c:axId val="1836980687"/>
      </c:lineChart>
      <c:catAx>
        <c:axId val="1836993167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36980687"/>
        <c:crosses val="autoZero"/>
        <c:auto val="1"/>
        <c:lblAlgn val="ctr"/>
        <c:lblOffset val="100"/>
        <c:noMultiLvlLbl val="0"/>
      </c:catAx>
      <c:valAx>
        <c:axId val="1836980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\ &quot;€&quot;_-;\-* #,##0\ &quot;€&quot;_-;_-* &quot;-&quot;??\ &quot;€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369931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Forecast_Profitto!$B$1</c:f>
              <c:strCache>
                <c:ptCount val="1"/>
                <c:pt idx="0">
                  <c:v>Profitto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Forecast_Profitto!$B$2:$B$20</c:f>
              <c:numCache>
                <c:formatCode>_-* #,##0\ "€"_-;\-* #,##0\ "€"_-;_-* "-"??\ "€"_-;_-@_-</c:formatCode>
                <c:ptCount val="19"/>
                <c:pt idx="0">
                  <c:v>14828</c:v>
                </c:pt>
                <c:pt idx="1">
                  <c:v>17625</c:v>
                </c:pt>
                <c:pt idx="2">
                  <c:v>21576</c:v>
                </c:pt>
                <c:pt idx="3">
                  <c:v>24064</c:v>
                </c:pt>
                <c:pt idx="4">
                  <c:v>28504</c:v>
                </c:pt>
                <c:pt idx="5">
                  <c:v>32051.5</c:v>
                </c:pt>
                <c:pt idx="6">
                  <c:v>35810</c:v>
                </c:pt>
                <c:pt idx="7">
                  <c:v>30800</c:v>
                </c:pt>
                <c:pt idx="8">
                  <c:v>40150</c:v>
                </c:pt>
                <c:pt idx="9">
                  <c:v>45784</c:v>
                </c:pt>
                <c:pt idx="10">
                  <c:v>61660</c:v>
                </c:pt>
                <c:pt idx="11">
                  <c:v>89133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62-4335-ACB7-BAACE0486E43}"/>
            </c:ext>
          </c:extLst>
        </c:ser>
        <c:ser>
          <c:idx val="1"/>
          <c:order val="1"/>
          <c:tx>
            <c:strRef>
              <c:f>Forecast_Profitto!$C$1</c:f>
              <c:strCache>
                <c:ptCount val="1"/>
                <c:pt idx="0">
                  <c:v>Previsione(Profitto)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Forecast_Profitto!$A$2:$A$20</c:f>
              <c:numCache>
                <c:formatCode>m/d/yyyy</c:formatCode>
                <c:ptCount val="19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  <c:pt idx="12">
                  <c:v>46388</c:v>
                </c:pt>
                <c:pt idx="13">
                  <c:v>46419</c:v>
                </c:pt>
                <c:pt idx="14">
                  <c:v>46447</c:v>
                </c:pt>
                <c:pt idx="15">
                  <c:v>46478</c:v>
                </c:pt>
                <c:pt idx="16">
                  <c:v>46508</c:v>
                </c:pt>
                <c:pt idx="17">
                  <c:v>46539</c:v>
                </c:pt>
                <c:pt idx="18">
                  <c:v>46568</c:v>
                </c:pt>
              </c:numCache>
            </c:numRef>
          </c:cat>
          <c:val>
            <c:numRef>
              <c:f>Forecast_Profitto!$C$2:$C$20</c:f>
              <c:numCache>
                <c:formatCode>General</c:formatCode>
                <c:ptCount val="19"/>
                <c:pt idx="11" formatCode="_-* #,##0\ &quot;€&quot;_-;\-* #,##0\ &quot;€&quot;_-;_-* &quot;-&quot;??\ &quot;€&quot;_-;_-@_-">
                  <c:v>89133</c:v>
                </c:pt>
                <c:pt idx="12" formatCode="_-* #,##0\ &quot;€&quot;_-;\-* #,##0\ &quot;€&quot;_-;_-* &quot;-&quot;??\ &quot;€&quot;_-;_-@_-">
                  <c:v>73187.491379863204</c:v>
                </c:pt>
                <c:pt idx="13" formatCode="_-* #,##0\ &quot;€&quot;_-;\-* #,##0\ &quot;€&quot;_-;_-* &quot;-&quot;??\ &quot;€&quot;_-;_-@_-">
                  <c:v>78329.113445346491</c:v>
                </c:pt>
                <c:pt idx="14" formatCode="_-* #,##0\ &quot;€&quot;_-;\-* #,##0\ &quot;€&quot;_-;_-* &quot;-&quot;??\ &quot;€&quot;_-;_-@_-">
                  <c:v>83470.735510829763</c:v>
                </c:pt>
                <c:pt idx="15" formatCode="_-* #,##0\ &quot;€&quot;_-;\-* #,##0\ &quot;€&quot;_-;_-* &quot;-&quot;??\ &quot;€&quot;_-;_-@_-">
                  <c:v>88612.35757631305</c:v>
                </c:pt>
                <c:pt idx="16" formatCode="_-* #,##0\ &quot;€&quot;_-;\-* #,##0\ &quot;€&quot;_-;_-* &quot;-&quot;??\ &quot;€&quot;_-;_-@_-">
                  <c:v>93753.979641796323</c:v>
                </c:pt>
                <c:pt idx="17" formatCode="_-* #,##0\ &quot;€&quot;_-;\-* #,##0\ &quot;€&quot;_-;_-* &quot;-&quot;??\ &quot;€&quot;_-;_-@_-">
                  <c:v>98895.601707279595</c:v>
                </c:pt>
                <c:pt idx="18" formatCode="_-* #,##0\ &quot;€&quot;_-;\-* #,##0\ &quot;€&quot;_-;_-* &quot;-&quot;??\ &quot;€&quot;_-;_-@_-">
                  <c:v>103865.83637058009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362-4335-ACB7-BAACE0486E43}"/>
            </c:ext>
          </c:extLst>
        </c:ser>
        <c:ser>
          <c:idx val="2"/>
          <c:order val="2"/>
          <c:tx>
            <c:strRef>
              <c:f>Forecast_Profitto!$D$1</c:f>
              <c:strCache>
                <c:ptCount val="1"/>
                <c:pt idx="0">
                  <c:v>Limite di confidenza inferiore(Profitto)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Forecast_Profitto!$A$2:$A$20</c:f>
              <c:numCache>
                <c:formatCode>m/d/yyyy</c:formatCode>
                <c:ptCount val="19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  <c:pt idx="12">
                  <c:v>46388</c:v>
                </c:pt>
                <c:pt idx="13">
                  <c:v>46419</c:v>
                </c:pt>
                <c:pt idx="14">
                  <c:v>46447</c:v>
                </c:pt>
                <c:pt idx="15">
                  <c:v>46478</c:v>
                </c:pt>
                <c:pt idx="16">
                  <c:v>46508</c:v>
                </c:pt>
                <c:pt idx="17">
                  <c:v>46539</c:v>
                </c:pt>
                <c:pt idx="18">
                  <c:v>46568</c:v>
                </c:pt>
              </c:numCache>
            </c:numRef>
          </c:cat>
          <c:val>
            <c:numRef>
              <c:f>Forecast_Profitto!$D$2:$D$20</c:f>
              <c:numCache>
                <c:formatCode>General</c:formatCode>
                <c:ptCount val="19"/>
                <c:pt idx="11" formatCode="_-* #,##0\ &quot;€&quot;_-;\-* #,##0\ &quot;€&quot;_-;_-* &quot;-&quot;??\ &quot;€&quot;_-;_-@_-">
                  <c:v>89133</c:v>
                </c:pt>
                <c:pt idx="12" formatCode="_-* #,##0\ &quot;€&quot;_-;\-* #,##0\ &quot;€&quot;_-;_-* &quot;-&quot;??\ &quot;€&quot;_-;_-@_-">
                  <c:v>53548.409925688989</c:v>
                </c:pt>
                <c:pt idx="13" formatCode="_-* #,##0\ &quot;€&quot;_-;\-* #,##0\ &quot;€&quot;_-;_-* &quot;-&quot;??\ &quot;€&quot;_-;_-@_-">
                  <c:v>58080.839498164663</c:v>
                </c:pt>
                <c:pt idx="14" formatCode="_-* #,##0\ &quot;€&quot;_-;\-* #,##0\ &quot;€&quot;_-;_-* &quot;-&quot;??\ &quot;€&quot;_-;_-@_-">
                  <c:v>62626.415441388825</c:v>
                </c:pt>
                <c:pt idx="15" formatCode="_-* #,##0\ &quot;€&quot;_-;\-* #,##0\ &quot;€&quot;_-;_-* &quot;-&quot;??\ &quot;€&quot;_-;_-@_-">
                  <c:v>67184.022696946951</c:v>
                </c:pt>
                <c:pt idx="16" formatCode="_-* #,##0\ &quot;€&quot;_-;\-* #,##0\ &quot;€&quot;_-;_-* &quot;-&quot;??\ &quot;€&quot;_-;_-@_-">
                  <c:v>71752.685614806876</c:v>
                </c:pt>
                <c:pt idx="17" formatCode="_-* #,##0\ &quot;€&quot;_-;\-* #,##0\ &quot;€&quot;_-;_-* &quot;-&quot;??\ &quot;€&quot;_-;_-@_-">
                  <c:v>76331.544890658828</c:v>
                </c:pt>
                <c:pt idx="18" formatCode="_-* #,##0\ &quot;€&quot;_-;\-* #,##0\ &quot;€&quot;_-;_-* &quot;-&quot;??\ &quot;€&quot;_-;_-@_-">
                  <c:v>80766.682485154757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362-4335-ACB7-BAACE0486E43}"/>
            </c:ext>
          </c:extLst>
        </c:ser>
        <c:ser>
          <c:idx val="3"/>
          <c:order val="3"/>
          <c:tx>
            <c:strRef>
              <c:f>Forecast_Profitto!$E$1</c:f>
              <c:strCache>
                <c:ptCount val="1"/>
                <c:pt idx="0">
                  <c:v>Limite di confidenza superiore(Profitto)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Forecast_Profitto!$A$2:$A$20</c:f>
              <c:numCache>
                <c:formatCode>m/d/yyyy</c:formatCode>
                <c:ptCount val="19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  <c:pt idx="12">
                  <c:v>46388</c:v>
                </c:pt>
                <c:pt idx="13">
                  <c:v>46419</c:v>
                </c:pt>
                <c:pt idx="14">
                  <c:v>46447</c:v>
                </c:pt>
                <c:pt idx="15">
                  <c:v>46478</c:v>
                </c:pt>
                <c:pt idx="16">
                  <c:v>46508</c:v>
                </c:pt>
                <c:pt idx="17">
                  <c:v>46539</c:v>
                </c:pt>
                <c:pt idx="18">
                  <c:v>46568</c:v>
                </c:pt>
              </c:numCache>
            </c:numRef>
          </c:cat>
          <c:val>
            <c:numRef>
              <c:f>Forecast_Profitto!$E$2:$E$20</c:f>
              <c:numCache>
                <c:formatCode>General</c:formatCode>
                <c:ptCount val="19"/>
                <c:pt idx="11" formatCode="_-* #,##0\ &quot;€&quot;_-;\-* #,##0\ &quot;€&quot;_-;_-* &quot;-&quot;??\ &quot;€&quot;_-;_-@_-">
                  <c:v>89133</c:v>
                </c:pt>
                <c:pt idx="12" formatCode="_-* #,##0\ &quot;€&quot;_-;\-* #,##0\ &quot;€&quot;_-;_-* &quot;-&quot;??\ &quot;€&quot;_-;_-@_-">
                  <c:v>92826.572834037419</c:v>
                </c:pt>
                <c:pt idx="13" formatCode="_-* #,##0\ &quot;€&quot;_-;\-* #,##0\ &quot;€&quot;_-;_-* &quot;-&quot;??\ &quot;€&quot;_-;_-@_-">
                  <c:v>98577.387392528326</c:v>
                </c:pt>
                <c:pt idx="14" formatCode="_-* #,##0\ &quot;€&quot;_-;\-* #,##0\ &quot;€&quot;_-;_-* &quot;-&quot;??\ &quot;€&quot;_-;_-@_-">
                  <c:v>104315.05558027071</c:v>
                </c:pt>
                <c:pt idx="15" formatCode="_-* #,##0\ &quot;€&quot;_-;\-* #,##0\ &quot;€&quot;_-;_-* &quot;-&quot;??\ &quot;€&quot;_-;_-@_-">
                  <c:v>110040.69245567915</c:v>
                </c:pt>
                <c:pt idx="16" formatCode="_-* #,##0\ &quot;€&quot;_-;\-* #,##0\ &quot;€&quot;_-;_-* &quot;-&quot;??\ &quot;€&quot;_-;_-@_-">
                  <c:v>115755.27366878577</c:v>
                </c:pt>
                <c:pt idx="17" formatCode="_-* #,##0\ &quot;€&quot;_-;\-* #,##0\ &quot;€&quot;_-;_-* &quot;-&quot;??\ &quot;€&quot;_-;_-@_-">
                  <c:v>121459.65852390036</c:v>
                </c:pt>
                <c:pt idx="18" formatCode="_-* #,##0\ &quot;€&quot;_-;\-* #,##0\ &quot;€&quot;_-;_-* &quot;-&quot;??\ &quot;€&quot;_-;_-@_-">
                  <c:v>126964.99025600542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362-4335-ACB7-BAACE0486E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36386351"/>
        <c:axId val="1836380591"/>
      </c:lineChart>
      <c:catAx>
        <c:axId val="1836386351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36380591"/>
        <c:crosses val="autoZero"/>
        <c:auto val="1"/>
        <c:lblAlgn val="ctr"/>
        <c:lblOffset val="100"/>
        <c:noMultiLvlLbl val="0"/>
      </c:catAx>
      <c:valAx>
        <c:axId val="1836380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\ &quot;€&quot;_-;\-* #,##0\ &quot;€&quot;_-;_-* &quot;-&quot;??\ &quot;€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363863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68580</xdr:colOff>
      <xdr:row>1</xdr:row>
      <xdr:rowOff>3811</xdr:rowOff>
    </xdr:from>
    <xdr:to>
      <xdr:col>4</xdr:col>
      <xdr:colOff>891540</xdr:colOff>
      <xdr:row>11</xdr:row>
      <xdr:rowOff>106680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E97D281E-8D11-E8B7-D8BE-032E8E0668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</xdr:colOff>
      <xdr:row>0</xdr:row>
      <xdr:rowOff>148591</xdr:rowOff>
    </xdr:from>
    <xdr:to>
      <xdr:col>4</xdr:col>
      <xdr:colOff>2348865</xdr:colOff>
      <xdr:row>11</xdr:row>
      <xdr:rowOff>152401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FDA82442-FFD7-D6EE-6E24-9450A90F02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</xdr:colOff>
      <xdr:row>0</xdr:row>
      <xdr:rowOff>179071</xdr:rowOff>
    </xdr:from>
    <xdr:to>
      <xdr:col>4</xdr:col>
      <xdr:colOff>2028825</xdr:colOff>
      <xdr:row>12</xdr:row>
      <xdr:rowOff>15241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E74A42EB-7245-6594-9062-FB72D68CC5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13FFA7-CC19-43DC-9759-1B9702807C39}" name="Tabella1" displayName="Tabella1" ref="A1:E20" totalsRowShown="0">
  <autoFilter ref="A1:E20" xr:uid="{C613FFA7-CC19-43DC-9759-1B9702807C39}"/>
  <tableColumns count="5">
    <tableColumn id="1" xr3:uid="{5060055C-8ACB-4E30-97EA-A32A04E3027C}" name="Mese" dataDxfId="11"/>
    <tableColumn id="2" xr3:uid="{81CC5617-8650-4BF2-BACB-F0FA04398C84}" name="Visitatori"/>
    <tableColumn id="3" xr3:uid="{E033D8B9-6635-4FC4-9160-8FCE55A8239F}" name="Previsione(Visitatori)" dataDxfId="10">
      <calculatedColumnFormula>_xlfn.FORECAST.ETS(A2,$B$2:$B$13,$A$2:$A$13,1,1)</calculatedColumnFormula>
    </tableColumn>
    <tableColumn id="4" xr3:uid="{393B604A-870C-45EF-9E21-4EA38D06DBA4}" name="Limite di confidenza inferiore(Visitatori)" dataDxfId="9">
      <calculatedColumnFormula>C2-_xlfn.FORECAST.ETS.CONFINT(A2,$B$2:$B$13,$A$2:$A$13,0.95,1,1)</calculatedColumnFormula>
    </tableColumn>
    <tableColumn id="5" xr3:uid="{89ED5936-EFCD-48D8-889B-AD068463257C}" name="Limite di confidenza superiore(Visitatori)" dataDxfId="8">
      <calculatedColumnFormula>C2+_xlfn.FORECAST.ETS.CONFINT(A2,$B$2:$B$13,$A$2:$A$13,0.95,1,1)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ABC37A7-D892-4739-B43E-A76B19E3F527}" name="Tabella2" displayName="Tabella2" ref="A1:E20" totalsRowShown="0">
  <autoFilter ref="A1:E20" xr:uid="{EABC37A7-D892-4739-B43E-A76B19E3F527}"/>
  <tableColumns count="5">
    <tableColumn id="1" xr3:uid="{704E69EE-0D92-41F0-A5C6-D81A991E128F}" name="Mese" dataDxfId="7"/>
    <tableColumn id="2" xr3:uid="{8FB6096A-09D5-4275-B38F-BABECBEAC9A3}" name="Ricavi"/>
    <tableColumn id="3" xr3:uid="{74644871-BB15-4433-A350-E9B3A4D2E7DA}" name="Previsione(Ricavi)" dataDxfId="6">
      <calculatedColumnFormula>_xlfn.FORECAST.ETS(A2,$B$2:$B$13,$A$2:$A$13,1,1)</calculatedColumnFormula>
    </tableColumn>
    <tableColumn id="4" xr3:uid="{E8880A98-2D14-4D6F-AB00-4052E94BD8D0}" name="Limite di confidenza inferiore(Ricavi)" dataDxfId="5">
      <calculatedColumnFormula>C2-_xlfn.FORECAST.ETS.CONFINT(A2,$B$2:$B$13,$A$2:$A$13,0.95,1,1)</calculatedColumnFormula>
    </tableColumn>
    <tableColumn id="5" xr3:uid="{7B06494E-AAA6-4F82-BB3E-3D587CAC72C6}" name="Limite di confidenza superiore(Ricavi)" dataDxfId="4">
      <calculatedColumnFormula>C2+_xlfn.FORECAST.ETS.CONFINT(A2,$B$2:$B$13,$A$2:$A$13,0.95,1,1)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5569BD2-1EEF-4FC3-916B-96C7D2AB19B6}" name="Tabella3" displayName="Tabella3" ref="A1:E20" totalsRowShown="0">
  <autoFilter ref="A1:E20" xr:uid="{75569BD2-1EEF-4FC3-916B-96C7D2AB19B6}"/>
  <tableColumns count="5">
    <tableColumn id="1" xr3:uid="{76A30D09-F21E-4795-9FEF-7F3D09D87E3B}" name="Mese" dataDxfId="3"/>
    <tableColumn id="2" xr3:uid="{C1119A0A-3651-4B51-8FB9-E19EAAB84FF3}" name="Profitto"/>
    <tableColumn id="3" xr3:uid="{4B6A5C5E-5840-4BF2-8D74-FBAF9D9687DB}" name="Previsione(Profitto)" dataDxfId="2">
      <calculatedColumnFormula>_xlfn.FORECAST.ETS(A2,$B$2:$B$13,$A$2:$A$13,1,1)</calculatedColumnFormula>
    </tableColumn>
    <tableColumn id="4" xr3:uid="{49359DF4-37D4-4D64-9C0E-56B1FF64AF7A}" name="Limite di confidenza inferiore(Profitto)" dataDxfId="1">
      <calculatedColumnFormula>C2-_xlfn.FORECAST.ETS.CONFINT(A2,$B$2:$B$13,$A$2:$A$13,0.95,1,1)</calculatedColumnFormula>
    </tableColumn>
    <tableColumn id="5" xr3:uid="{44B688FA-869E-4E6D-A907-7D9EFB42D415}" name="Limite di confidenza superiore(Profitto)" dataDxfId="0">
      <calculatedColumnFormula>C2+_xlfn.FORECAST.ETS.CONFINT(A2,$B$2:$B$13,$A$2:$A$13,0.95,1,1)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DB011-B33C-43D5-96A4-D3658A431A89}">
  <dimension ref="A1:E20"/>
  <sheetViews>
    <sheetView workbookViewId="0">
      <selection activeCell="D25" sqref="D25"/>
    </sheetView>
  </sheetViews>
  <sheetFormatPr defaultRowHeight="14.4" x14ac:dyDescent="0.3"/>
  <cols>
    <col min="1" max="1" width="10.33203125" bestFit="1" customWidth="1"/>
    <col min="2" max="2" width="10.5546875" customWidth="1"/>
    <col min="3" max="3" width="20.5546875" customWidth="1"/>
    <col min="4" max="4" width="36" customWidth="1"/>
    <col min="5" max="5" width="36.88671875" customWidth="1"/>
  </cols>
  <sheetData>
    <row r="1" spans="1:5" x14ac:dyDescent="0.3">
      <c r="A1" t="s">
        <v>0</v>
      </c>
      <c r="B1" t="s">
        <v>1</v>
      </c>
      <c r="C1" t="s">
        <v>9</v>
      </c>
      <c r="D1" t="s">
        <v>10</v>
      </c>
      <c r="E1" t="s">
        <v>11</v>
      </c>
    </row>
    <row r="2" spans="1:5" x14ac:dyDescent="0.3">
      <c r="A2" s="12">
        <v>46023</v>
      </c>
      <c r="B2" s="7">
        <v>18000</v>
      </c>
    </row>
    <row r="3" spans="1:5" x14ac:dyDescent="0.3">
      <c r="A3" s="12">
        <v>46054</v>
      </c>
      <c r="B3" s="7">
        <v>19500</v>
      </c>
    </row>
    <row r="4" spans="1:5" x14ac:dyDescent="0.3">
      <c r="A4" s="12">
        <v>46082</v>
      </c>
      <c r="B4" s="7">
        <v>21000</v>
      </c>
    </row>
    <row r="5" spans="1:5" x14ac:dyDescent="0.3">
      <c r="A5" s="12">
        <v>46113</v>
      </c>
      <c r="B5" s="7">
        <v>22000</v>
      </c>
    </row>
    <row r="6" spans="1:5" x14ac:dyDescent="0.3">
      <c r="A6" s="12">
        <v>46143</v>
      </c>
      <c r="B6" s="7">
        <v>24000</v>
      </c>
    </row>
    <row r="7" spans="1:5" x14ac:dyDescent="0.3">
      <c r="A7" s="12">
        <v>46174</v>
      </c>
      <c r="B7" s="7">
        <v>25500</v>
      </c>
    </row>
    <row r="8" spans="1:5" x14ac:dyDescent="0.3">
      <c r="A8" s="12">
        <v>46204</v>
      </c>
      <c r="B8" s="7">
        <v>26500</v>
      </c>
    </row>
    <row r="9" spans="1:5" x14ac:dyDescent="0.3">
      <c r="A9" s="12">
        <v>46235</v>
      </c>
      <c r="B9" s="7">
        <v>25000</v>
      </c>
    </row>
    <row r="10" spans="1:5" x14ac:dyDescent="0.3">
      <c r="A10" s="12">
        <v>46266</v>
      </c>
      <c r="B10" s="7">
        <v>27500</v>
      </c>
    </row>
    <row r="11" spans="1:5" x14ac:dyDescent="0.3">
      <c r="A11" s="12">
        <v>46296</v>
      </c>
      <c r="B11" s="7">
        <v>29500</v>
      </c>
    </row>
    <row r="12" spans="1:5" x14ac:dyDescent="0.3">
      <c r="A12" s="12">
        <v>46327</v>
      </c>
      <c r="B12" s="7">
        <v>34000</v>
      </c>
    </row>
    <row r="13" spans="1:5" x14ac:dyDescent="0.3">
      <c r="A13" s="12">
        <v>46357</v>
      </c>
      <c r="B13" s="7">
        <v>41000</v>
      </c>
      <c r="C13" s="7">
        <v>41000</v>
      </c>
      <c r="D13" s="7">
        <v>41000</v>
      </c>
      <c r="E13" s="7">
        <v>41000</v>
      </c>
    </row>
    <row r="14" spans="1:5" x14ac:dyDescent="0.3">
      <c r="A14" s="12">
        <v>46388</v>
      </c>
      <c r="C14" s="7">
        <f>_xlfn.FORECAST.ETS(A14,$B$2:$B$13,$A$2:$A$13,1,1)</f>
        <v>37186.502590549324</v>
      </c>
      <c r="D14" s="7">
        <f>C14-_xlfn.FORECAST.ETS.CONFINT(A14,$B$2:$B$13,$A$2:$A$13,0.95,1,1)</f>
        <v>32373.104594270226</v>
      </c>
      <c r="E14" s="7">
        <f>C14+_xlfn.FORECAST.ETS.CONFINT(A14,$B$2:$B$13,$A$2:$A$13,0.95,1,1)</f>
        <v>41999.900586828422</v>
      </c>
    </row>
    <row r="15" spans="1:5" x14ac:dyDescent="0.3">
      <c r="A15" s="12">
        <v>46419</v>
      </c>
      <c r="C15" s="7">
        <f>_xlfn.FORECAST.ETS(A15,$B$2:$B$13,$A$2:$A$13,1,1)</f>
        <v>38840.313754531089</v>
      </c>
      <c r="D15" s="7">
        <f>C15-_xlfn.FORECAST.ETS.CONFINT(A15,$B$2:$B$13,$A$2:$A$13,0.95,1,1)</f>
        <v>33988.253382879899</v>
      </c>
      <c r="E15" s="7">
        <f>C15+_xlfn.FORECAST.ETS.CONFINT(A15,$B$2:$B$13,$A$2:$A$13,0.95,1,1)</f>
        <v>43692.37412618228</v>
      </c>
    </row>
    <row r="16" spans="1:5" x14ac:dyDescent="0.3">
      <c r="A16" s="12">
        <v>46447</v>
      </c>
      <c r="C16" s="7">
        <f>_xlfn.FORECAST.ETS(A16,$B$2:$B$13,$A$2:$A$13,1,1)</f>
        <v>40494.124918512847</v>
      </c>
      <c r="D16" s="7">
        <f>C16-_xlfn.FORECAST.ETS.CONFINT(A16,$B$2:$B$13,$A$2:$A$13,0.95,1,1)</f>
        <v>35603.103811036301</v>
      </c>
      <c r="E16" s="7">
        <f>C16+_xlfn.FORECAST.ETS.CONFINT(A16,$B$2:$B$13,$A$2:$A$13,0.95,1,1)</f>
        <v>45385.146025989394</v>
      </c>
    </row>
    <row r="17" spans="1:5" x14ac:dyDescent="0.3">
      <c r="A17" s="12">
        <v>46478</v>
      </c>
      <c r="C17" s="7">
        <f>_xlfn.FORECAST.ETS(A17,$B$2:$B$13,$A$2:$A$13,1,1)</f>
        <v>42147.936082494612</v>
      </c>
      <c r="D17" s="7">
        <f>C17-_xlfn.FORECAST.ETS.CONFINT(A17,$B$2:$B$13,$A$2:$A$13,0.95,1,1)</f>
        <v>37217.658252687863</v>
      </c>
      <c r="E17" s="7">
        <f>C17+_xlfn.FORECAST.ETS.CONFINT(A17,$B$2:$B$13,$A$2:$A$13,0.95,1,1)</f>
        <v>47078.213912301362</v>
      </c>
    </row>
    <row r="18" spans="1:5" x14ac:dyDescent="0.3">
      <c r="A18" s="12">
        <v>46508</v>
      </c>
      <c r="C18" s="7">
        <f>_xlfn.FORECAST.ETS(A18,$B$2:$B$13,$A$2:$A$13,1,1)</f>
        <v>43801.74724647637</v>
      </c>
      <c r="D18" s="7">
        <f>C18-_xlfn.FORECAST.ETS.CONFINT(A18,$B$2:$B$13,$A$2:$A$13,0.95,1,1)</f>
        <v>38831.919059943481</v>
      </c>
      <c r="E18" s="7">
        <f>C18+_xlfn.FORECAST.ETS.CONFINT(A18,$B$2:$B$13,$A$2:$A$13,0.95,1,1)</f>
        <v>48771.57543300926</v>
      </c>
    </row>
    <row r="19" spans="1:5" x14ac:dyDescent="0.3">
      <c r="A19" s="12">
        <v>46539</v>
      </c>
      <c r="C19" s="7">
        <f>_xlfn.FORECAST.ETS(A19,$B$2:$B$13,$A$2:$A$13,1,1)</f>
        <v>45455.558410458136</v>
      </c>
      <c r="D19" s="7">
        <f>C19-_xlfn.FORECAST.ETS.CONFINT(A19,$B$2:$B$13,$A$2:$A$13,0.95,1,1)</f>
        <v>40445.888562543973</v>
      </c>
      <c r="E19" s="7">
        <f>C19+_xlfn.FORECAST.ETS.CONFINT(A19,$B$2:$B$13,$A$2:$A$13,0.95,1,1)</f>
        <v>50465.228258372299</v>
      </c>
    </row>
    <row r="20" spans="1:5" x14ac:dyDescent="0.3">
      <c r="A20" s="12">
        <v>46568</v>
      </c>
      <c r="C20" s="7">
        <f>_xlfn.FORECAST.ETS(A20,$B$2:$B$13,$A$2:$A$13,1,1)</f>
        <v>47054.2425356405</v>
      </c>
      <c r="D20" s="7">
        <f>C20-_xlfn.FORECAST.ETS.CONFINT(A20,$B$2:$B$13,$A$2:$A$13,0.95,1,1)</f>
        <v>42005.774577752905</v>
      </c>
      <c r="E20" s="7">
        <f>C20+_xlfn.FORECAST.ETS.CONFINT(A20,$B$2:$B$13,$A$2:$A$13,0.95,1,1)</f>
        <v>52102.710493528095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EA5F2-3B95-4B6B-85B3-60D87F1642B8}">
  <dimension ref="A1:E20"/>
  <sheetViews>
    <sheetView workbookViewId="0">
      <selection activeCell="D26" sqref="D26"/>
    </sheetView>
  </sheetViews>
  <sheetFormatPr defaultRowHeight="14.4" x14ac:dyDescent="0.3"/>
  <cols>
    <col min="1" max="1" width="10.33203125" bestFit="1" customWidth="1"/>
    <col min="2" max="2" width="10.21875" bestFit="1" customWidth="1"/>
    <col min="3" max="3" width="18" customWidth="1"/>
    <col min="4" max="4" width="33.44140625" customWidth="1"/>
    <col min="5" max="5" width="34.33203125" customWidth="1"/>
  </cols>
  <sheetData>
    <row r="1" spans="1:5" x14ac:dyDescent="0.3">
      <c r="A1" t="s">
        <v>0</v>
      </c>
      <c r="B1" t="s">
        <v>6</v>
      </c>
      <c r="C1" t="s">
        <v>12</v>
      </c>
      <c r="D1" t="s">
        <v>13</v>
      </c>
      <c r="E1" t="s">
        <v>14</v>
      </c>
    </row>
    <row r="2" spans="1:5" x14ac:dyDescent="0.3">
      <c r="A2" s="12">
        <v>46023</v>
      </c>
      <c r="B2" s="8">
        <v>31104</v>
      </c>
    </row>
    <row r="3" spans="1:5" x14ac:dyDescent="0.3">
      <c r="A3" s="12">
        <v>46054</v>
      </c>
      <c r="B3" s="8">
        <v>35100</v>
      </c>
    </row>
    <row r="4" spans="1:5" x14ac:dyDescent="0.3">
      <c r="A4" s="12">
        <v>46082</v>
      </c>
      <c r="B4" s="8">
        <v>40404</v>
      </c>
    </row>
    <row r="5" spans="1:5" x14ac:dyDescent="0.3">
      <c r="A5" s="12">
        <v>46113</v>
      </c>
      <c r="B5" s="8">
        <v>43956</v>
      </c>
    </row>
    <row r="6" spans="1:5" x14ac:dyDescent="0.3">
      <c r="A6" s="12">
        <v>46143</v>
      </c>
      <c r="B6" s="8">
        <v>50400</v>
      </c>
    </row>
    <row r="7" spans="1:5" x14ac:dyDescent="0.3">
      <c r="A7" s="12">
        <v>46174</v>
      </c>
      <c r="B7" s="8">
        <v>55462.5</v>
      </c>
    </row>
    <row r="8" spans="1:5" x14ac:dyDescent="0.3">
      <c r="A8" s="12">
        <v>46204</v>
      </c>
      <c r="B8" s="8">
        <v>60420</v>
      </c>
    </row>
    <row r="9" spans="1:5" x14ac:dyDescent="0.3">
      <c r="A9" s="12">
        <v>46235</v>
      </c>
      <c r="B9" s="8">
        <v>53200</v>
      </c>
    </row>
    <row r="10" spans="1:5" x14ac:dyDescent="0.3">
      <c r="A10" s="12">
        <v>46266</v>
      </c>
      <c r="B10" s="8">
        <v>66495</v>
      </c>
    </row>
    <row r="11" spans="1:5" x14ac:dyDescent="0.3">
      <c r="A11" s="12">
        <v>46296</v>
      </c>
      <c r="B11" s="8">
        <v>74576</v>
      </c>
    </row>
    <row r="12" spans="1:5" x14ac:dyDescent="0.3">
      <c r="A12" s="12">
        <v>46327</v>
      </c>
      <c r="B12" s="8">
        <v>97580</v>
      </c>
    </row>
    <row r="13" spans="1:5" x14ac:dyDescent="0.3">
      <c r="A13" s="12">
        <v>46357</v>
      </c>
      <c r="B13" s="8">
        <v>135915</v>
      </c>
      <c r="C13" s="8">
        <v>135915</v>
      </c>
      <c r="D13" s="8">
        <v>135915</v>
      </c>
      <c r="E13" s="8">
        <v>135915</v>
      </c>
    </row>
    <row r="14" spans="1:5" x14ac:dyDescent="0.3">
      <c r="A14" s="12">
        <v>46388</v>
      </c>
      <c r="C14" s="8">
        <f>_xlfn.FORECAST.ETS(A14,$B$2:$B$13,$A$2:$A$13,1,1)</f>
        <v>113396.44828408239</v>
      </c>
      <c r="D14" s="8">
        <f>C14-_xlfn.FORECAST.ETS.CONFINT(A14,$B$2:$B$13,$A$2:$A$13,0.95,1,1)</f>
        <v>85471.274183349</v>
      </c>
      <c r="E14" s="8">
        <f>C14+_xlfn.FORECAST.ETS.CONFINT(A14,$B$2:$B$13,$A$2:$A$13,0.95,1,1)</f>
        <v>141321.62238481577</v>
      </c>
    </row>
    <row r="15" spans="1:5" x14ac:dyDescent="0.3">
      <c r="A15" s="12">
        <v>46419</v>
      </c>
      <c r="C15" s="8">
        <f>_xlfn.FORECAST.ETS(A15,$B$2:$B$13,$A$2:$A$13,1,1)</f>
        <v>120652.40732918031</v>
      </c>
      <c r="D15" s="8">
        <f>C15-_xlfn.FORECAST.ETS.CONFINT(A15,$B$2:$B$13,$A$2:$A$13,0.95,1,1)</f>
        <v>91861.011125962512</v>
      </c>
      <c r="E15" s="8">
        <f>C15+_xlfn.FORECAST.ETS.CONFINT(A15,$B$2:$B$13,$A$2:$A$13,0.95,1,1)</f>
        <v>149443.8035323981</v>
      </c>
    </row>
    <row r="16" spans="1:5" x14ac:dyDescent="0.3">
      <c r="A16" s="12">
        <v>46447</v>
      </c>
      <c r="C16" s="8">
        <f>_xlfn.FORECAST.ETS(A16,$B$2:$B$13,$A$2:$A$13,1,1)</f>
        <v>127908.36637427821</v>
      </c>
      <c r="D16" s="8">
        <f>C16-_xlfn.FORECAST.ETS.CONFINT(A16,$B$2:$B$13,$A$2:$A$13,0.95,1,1)</f>
        <v>98269.441136925525</v>
      </c>
      <c r="E16" s="8">
        <f>C16+_xlfn.FORECAST.ETS.CONFINT(A16,$B$2:$B$13,$A$2:$A$13,0.95,1,1)</f>
        <v>157547.29161163091</v>
      </c>
    </row>
    <row r="17" spans="1:5" x14ac:dyDescent="0.3">
      <c r="A17" s="12">
        <v>46478</v>
      </c>
      <c r="C17" s="8">
        <f>_xlfn.FORECAST.ETS(A17,$B$2:$B$13,$A$2:$A$13,1,1)</f>
        <v>135164.32541937614</v>
      </c>
      <c r="D17" s="8">
        <f>C17-_xlfn.FORECAST.ETS.CONFINT(A17,$B$2:$B$13,$A$2:$A$13,0.95,1,1)</f>
        <v>104694.97869400114</v>
      </c>
      <c r="E17" s="8">
        <f>C17+_xlfn.FORECAST.ETS.CONFINT(A17,$B$2:$B$13,$A$2:$A$13,0.95,1,1)</f>
        <v>165633.67214475115</v>
      </c>
    </row>
    <row r="18" spans="1:5" x14ac:dyDescent="0.3">
      <c r="A18" s="12">
        <v>46508</v>
      </c>
      <c r="C18" s="8">
        <f>_xlfn.FORECAST.ETS(A18,$B$2:$B$13,$A$2:$A$13,1,1)</f>
        <v>142420.28446447404</v>
      </c>
      <c r="D18" s="8">
        <f>C18-_xlfn.FORECAST.ETS.CONFINT(A18,$B$2:$B$13,$A$2:$A$13,0.95,1,1)</f>
        <v>111136.23650231645</v>
      </c>
      <c r="E18" s="8">
        <f>C18+_xlfn.FORECAST.ETS.CONFINT(A18,$B$2:$B$13,$A$2:$A$13,0.95,1,1)</f>
        <v>173704.33242663165</v>
      </c>
    </row>
    <row r="19" spans="1:5" x14ac:dyDescent="0.3">
      <c r="A19" s="12">
        <v>46539</v>
      </c>
      <c r="C19" s="8">
        <f>_xlfn.FORECAST.ETS(A19,$B$2:$B$13,$A$2:$A$13,1,1)</f>
        <v>149676.24350957194</v>
      </c>
      <c r="D19" s="8">
        <f>C19-_xlfn.FORECAST.ETS.CONFINT(A19,$B$2:$B$13,$A$2:$A$13,0.95,1,1)</f>
        <v>117591.99270113872</v>
      </c>
      <c r="E19" s="8">
        <f>C19+_xlfn.FORECAST.ETS.CONFINT(A19,$B$2:$B$13,$A$2:$A$13,0.95,1,1)</f>
        <v>181760.49431800516</v>
      </c>
    </row>
    <row r="20" spans="1:5" x14ac:dyDescent="0.3">
      <c r="A20" s="12">
        <v>46568</v>
      </c>
      <c r="C20" s="8">
        <f>_xlfn.FORECAST.ETS(A20,$B$2:$B$13,$A$2:$A$13,1,1)</f>
        <v>156690.3372531666</v>
      </c>
      <c r="D20" s="8">
        <f>C20-_xlfn.FORECAST.ETS.CONFINT(A20,$B$2:$B$13,$A$2:$A$13,0.95,1,1)</f>
        <v>123845.22199992588</v>
      </c>
      <c r="E20" s="8">
        <f>C20+_xlfn.FORECAST.ETS.CONFINT(A20,$B$2:$B$13,$A$2:$A$13,0.95,1,1)</f>
        <v>189535.45250640731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DD60E-E944-46DE-8A67-E07E3E3F1E9F}">
  <dimension ref="A1:E20"/>
  <sheetViews>
    <sheetView workbookViewId="0">
      <selection activeCell="D23" sqref="D23"/>
    </sheetView>
  </sheetViews>
  <sheetFormatPr defaultRowHeight="14.4" x14ac:dyDescent="0.3"/>
  <cols>
    <col min="1" max="1" width="10.33203125" bestFit="1" customWidth="1"/>
    <col min="2" max="2" width="9.21875" bestFit="1" customWidth="1"/>
    <col min="3" max="3" width="19.109375" customWidth="1"/>
    <col min="4" max="4" width="34.5546875" customWidth="1"/>
    <col min="5" max="5" width="35.44140625" customWidth="1"/>
  </cols>
  <sheetData>
    <row r="1" spans="1:5" x14ac:dyDescent="0.3">
      <c r="A1" t="s">
        <v>0</v>
      </c>
      <c r="B1" t="s">
        <v>7</v>
      </c>
      <c r="C1" t="s">
        <v>15</v>
      </c>
      <c r="D1" t="s">
        <v>16</v>
      </c>
      <c r="E1" t="s">
        <v>17</v>
      </c>
    </row>
    <row r="2" spans="1:5" x14ac:dyDescent="0.3">
      <c r="A2" s="12">
        <v>46023</v>
      </c>
      <c r="B2" s="8">
        <v>14828</v>
      </c>
    </row>
    <row r="3" spans="1:5" x14ac:dyDescent="0.3">
      <c r="A3" s="12">
        <v>46054</v>
      </c>
      <c r="B3" s="8">
        <v>17625</v>
      </c>
    </row>
    <row r="4" spans="1:5" x14ac:dyDescent="0.3">
      <c r="A4" s="12">
        <v>46082</v>
      </c>
      <c r="B4" s="8">
        <v>21576</v>
      </c>
    </row>
    <row r="5" spans="1:5" x14ac:dyDescent="0.3">
      <c r="A5" s="12">
        <v>46113</v>
      </c>
      <c r="B5" s="8">
        <v>24064</v>
      </c>
    </row>
    <row r="6" spans="1:5" x14ac:dyDescent="0.3">
      <c r="A6" s="12">
        <v>46143</v>
      </c>
      <c r="B6" s="8">
        <v>28504</v>
      </c>
    </row>
    <row r="7" spans="1:5" x14ac:dyDescent="0.3">
      <c r="A7" s="12">
        <v>46174</v>
      </c>
      <c r="B7" s="8">
        <v>32051.5</v>
      </c>
    </row>
    <row r="8" spans="1:5" x14ac:dyDescent="0.3">
      <c r="A8" s="12">
        <v>46204</v>
      </c>
      <c r="B8" s="8">
        <v>35810</v>
      </c>
    </row>
    <row r="9" spans="1:5" x14ac:dyDescent="0.3">
      <c r="A9" s="12">
        <v>46235</v>
      </c>
      <c r="B9" s="8">
        <v>30800</v>
      </c>
    </row>
    <row r="10" spans="1:5" x14ac:dyDescent="0.3">
      <c r="A10" s="12">
        <v>46266</v>
      </c>
      <c r="B10" s="8">
        <v>40150</v>
      </c>
    </row>
    <row r="11" spans="1:5" x14ac:dyDescent="0.3">
      <c r="A11" s="12">
        <v>46296</v>
      </c>
      <c r="B11" s="8">
        <v>45784</v>
      </c>
    </row>
    <row r="12" spans="1:5" x14ac:dyDescent="0.3">
      <c r="A12" s="12">
        <v>46327</v>
      </c>
      <c r="B12" s="8">
        <v>61660</v>
      </c>
    </row>
    <row r="13" spans="1:5" x14ac:dyDescent="0.3">
      <c r="A13" s="12">
        <v>46357</v>
      </c>
      <c r="B13" s="8">
        <v>89133</v>
      </c>
      <c r="C13" s="8">
        <v>89133</v>
      </c>
      <c r="D13" s="8">
        <v>89133</v>
      </c>
      <c r="E13" s="8">
        <v>89133</v>
      </c>
    </row>
    <row r="14" spans="1:5" x14ac:dyDescent="0.3">
      <c r="A14" s="12">
        <v>46388</v>
      </c>
      <c r="C14" s="8">
        <f>_xlfn.FORECAST.ETS(A14,$B$2:$B$13,$A$2:$A$13,1,1)</f>
        <v>73187.491379863204</v>
      </c>
      <c r="D14" s="8">
        <f>C14-_xlfn.FORECAST.ETS.CONFINT(A14,$B$2:$B$13,$A$2:$A$13,0.95,1,1)</f>
        <v>53548.409925688989</v>
      </c>
      <c r="E14" s="8">
        <f>C14+_xlfn.FORECAST.ETS.CONFINT(A14,$B$2:$B$13,$A$2:$A$13,0.95,1,1)</f>
        <v>92826.572834037419</v>
      </c>
    </row>
    <row r="15" spans="1:5" x14ac:dyDescent="0.3">
      <c r="A15" s="12">
        <v>46419</v>
      </c>
      <c r="C15" s="8">
        <f>_xlfn.FORECAST.ETS(A15,$B$2:$B$13,$A$2:$A$13,1,1)</f>
        <v>78329.113445346491</v>
      </c>
      <c r="D15" s="8">
        <f>C15-_xlfn.FORECAST.ETS.CONFINT(A15,$B$2:$B$13,$A$2:$A$13,0.95,1,1)</f>
        <v>58080.839498164663</v>
      </c>
      <c r="E15" s="8">
        <f>C15+_xlfn.FORECAST.ETS.CONFINT(A15,$B$2:$B$13,$A$2:$A$13,0.95,1,1)</f>
        <v>98577.387392528326</v>
      </c>
    </row>
    <row r="16" spans="1:5" x14ac:dyDescent="0.3">
      <c r="A16" s="12">
        <v>46447</v>
      </c>
      <c r="C16" s="8">
        <f>_xlfn.FORECAST.ETS(A16,$B$2:$B$13,$A$2:$A$13,1,1)</f>
        <v>83470.735510829763</v>
      </c>
      <c r="D16" s="8">
        <f>C16-_xlfn.FORECAST.ETS.CONFINT(A16,$B$2:$B$13,$A$2:$A$13,0.95,1,1)</f>
        <v>62626.415441388825</v>
      </c>
      <c r="E16" s="8">
        <f>C16+_xlfn.FORECAST.ETS.CONFINT(A16,$B$2:$B$13,$A$2:$A$13,0.95,1,1)</f>
        <v>104315.05558027071</v>
      </c>
    </row>
    <row r="17" spans="1:5" x14ac:dyDescent="0.3">
      <c r="A17" s="12">
        <v>46478</v>
      </c>
      <c r="C17" s="8">
        <f>_xlfn.FORECAST.ETS(A17,$B$2:$B$13,$A$2:$A$13,1,1)</f>
        <v>88612.35757631305</v>
      </c>
      <c r="D17" s="8">
        <f>C17-_xlfn.FORECAST.ETS.CONFINT(A17,$B$2:$B$13,$A$2:$A$13,0.95,1,1)</f>
        <v>67184.022696946951</v>
      </c>
      <c r="E17" s="8">
        <f>C17+_xlfn.FORECAST.ETS.CONFINT(A17,$B$2:$B$13,$A$2:$A$13,0.95,1,1)</f>
        <v>110040.69245567915</v>
      </c>
    </row>
    <row r="18" spans="1:5" x14ac:dyDescent="0.3">
      <c r="A18" s="12">
        <v>46508</v>
      </c>
      <c r="C18" s="8">
        <f>_xlfn.FORECAST.ETS(A18,$B$2:$B$13,$A$2:$A$13,1,1)</f>
        <v>93753.979641796323</v>
      </c>
      <c r="D18" s="8">
        <f>C18-_xlfn.FORECAST.ETS.CONFINT(A18,$B$2:$B$13,$A$2:$A$13,0.95,1,1)</f>
        <v>71752.685614806876</v>
      </c>
      <c r="E18" s="8">
        <f>C18+_xlfn.FORECAST.ETS.CONFINT(A18,$B$2:$B$13,$A$2:$A$13,0.95,1,1)</f>
        <v>115755.27366878577</v>
      </c>
    </row>
    <row r="19" spans="1:5" x14ac:dyDescent="0.3">
      <c r="A19" s="12">
        <v>46539</v>
      </c>
      <c r="C19" s="8">
        <f>_xlfn.FORECAST.ETS(A19,$B$2:$B$13,$A$2:$A$13,1,1)</f>
        <v>98895.601707279595</v>
      </c>
      <c r="D19" s="8">
        <f>C19-_xlfn.FORECAST.ETS.CONFINT(A19,$B$2:$B$13,$A$2:$A$13,0.95,1,1)</f>
        <v>76331.544890658828</v>
      </c>
      <c r="E19" s="8">
        <f>C19+_xlfn.FORECAST.ETS.CONFINT(A19,$B$2:$B$13,$A$2:$A$13,0.95,1,1)</f>
        <v>121459.65852390036</v>
      </c>
    </row>
    <row r="20" spans="1:5" x14ac:dyDescent="0.3">
      <c r="A20" s="12">
        <v>46568</v>
      </c>
      <c r="C20" s="8">
        <f>_xlfn.FORECAST.ETS(A20,$B$2:$B$13,$A$2:$A$13,1,1)</f>
        <v>103865.83637058009</v>
      </c>
      <c r="D20" s="8">
        <f>C20-_xlfn.FORECAST.ETS.CONFINT(A20,$B$2:$B$13,$A$2:$A$13,0.95,1,1)</f>
        <v>80766.682485154757</v>
      </c>
      <c r="E20" s="8">
        <f>C20+_xlfn.FORECAST.ETS.CONFINT(A20,$B$2:$B$13,$A$2:$A$13,0.95,1,1)</f>
        <v>126964.99025600542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7F27B-56A2-4885-8F37-1AD92583B901}">
  <dimension ref="A1:H16"/>
  <sheetViews>
    <sheetView workbookViewId="0">
      <selection activeCell="G13" sqref="G13"/>
    </sheetView>
  </sheetViews>
  <sheetFormatPr defaultRowHeight="14.4" x14ac:dyDescent="0.3"/>
  <cols>
    <col min="1" max="1" width="13.77734375" customWidth="1"/>
    <col min="4" max="4" width="7.5546875" bestFit="1" customWidth="1"/>
    <col min="5" max="5" width="11.109375" bestFit="1" customWidth="1"/>
    <col min="7" max="8" width="10.21875" bestFit="1" customWidth="1"/>
  </cols>
  <sheetData>
    <row r="1" spans="1:8" ht="28.8" x14ac:dyDescent="0.3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3">
      <c r="A2" s="11">
        <v>46023</v>
      </c>
      <c r="B2" s="5">
        <v>18000</v>
      </c>
      <c r="C2" s="4">
        <v>2.4E-2</v>
      </c>
      <c r="D2" s="6">
        <v>72</v>
      </c>
      <c r="E2" s="6">
        <v>8500</v>
      </c>
      <c r="F2" s="7">
        <f>B2*C2</f>
        <v>432</v>
      </c>
      <c r="G2" s="8">
        <f>D2*F2</f>
        <v>31104</v>
      </c>
      <c r="H2" s="8">
        <f>G2-(E2+(F2*$B$16))</f>
        <v>14828</v>
      </c>
    </row>
    <row r="3" spans="1:8" x14ac:dyDescent="0.3">
      <c r="A3" s="11">
        <v>46054</v>
      </c>
      <c r="B3" s="5">
        <v>19500</v>
      </c>
      <c r="C3" s="4">
        <v>2.5000000000000001E-2</v>
      </c>
      <c r="D3" s="6">
        <v>72</v>
      </c>
      <c r="E3" s="6">
        <v>8700</v>
      </c>
      <c r="F3" s="7">
        <f t="shared" ref="F3:F13" si="0">B3*C3</f>
        <v>487.5</v>
      </c>
      <c r="G3" s="8">
        <f t="shared" ref="G3:G13" si="1">D3*F3</f>
        <v>35100</v>
      </c>
      <c r="H3" s="8">
        <f t="shared" ref="H3:H13" si="2">G3-(E3+(F3*$B$16))</f>
        <v>17625</v>
      </c>
    </row>
    <row r="4" spans="1:8" x14ac:dyDescent="0.3">
      <c r="A4" s="11">
        <v>46082</v>
      </c>
      <c r="B4" s="5">
        <v>21000</v>
      </c>
      <c r="C4" s="4">
        <v>2.5999999999999999E-2</v>
      </c>
      <c r="D4" s="6">
        <v>74</v>
      </c>
      <c r="E4" s="6">
        <v>9000</v>
      </c>
      <c r="F4" s="7">
        <f t="shared" si="0"/>
        <v>546</v>
      </c>
      <c r="G4" s="8">
        <f t="shared" si="1"/>
        <v>40404</v>
      </c>
      <c r="H4" s="8">
        <f t="shared" si="2"/>
        <v>21576</v>
      </c>
    </row>
    <row r="5" spans="1:8" x14ac:dyDescent="0.3">
      <c r="A5" s="11">
        <v>46113</v>
      </c>
      <c r="B5" s="5">
        <v>22000</v>
      </c>
      <c r="C5" s="4">
        <v>2.7E-2</v>
      </c>
      <c r="D5" s="6">
        <v>74</v>
      </c>
      <c r="E5" s="6">
        <v>9200</v>
      </c>
      <c r="F5" s="7">
        <f t="shared" si="0"/>
        <v>594</v>
      </c>
      <c r="G5" s="8">
        <f t="shared" si="1"/>
        <v>43956</v>
      </c>
      <c r="H5" s="8">
        <f t="shared" si="2"/>
        <v>24064</v>
      </c>
    </row>
    <row r="6" spans="1:8" x14ac:dyDescent="0.3">
      <c r="A6" s="11">
        <v>46143</v>
      </c>
      <c r="B6" s="5">
        <v>24000</v>
      </c>
      <c r="C6" s="4">
        <v>2.8000000000000001E-2</v>
      </c>
      <c r="D6" s="6">
        <v>75</v>
      </c>
      <c r="E6" s="6">
        <v>9800</v>
      </c>
      <c r="F6" s="7">
        <f t="shared" si="0"/>
        <v>672</v>
      </c>
      <c r="G6" s="8">
        <f t="shared" si="1"/>
        <v>50400</v>
      </c>
      <c r="H6" s="8">
        <f t="shared" si="2"/>
        <v>28504</v>
      </c>
    </row>
    <row r="7" spans="1:8" x14ac:dyDescent="0.3">
      <c r="A7" s="11">
        <v>46174</v>
      </c>
      <c r="B7" s="5">
        <v>25500</v>
      </c>
      <c r="C7" s="4">
        <v>2.9000000000000001E-2</v>
      </c>
      <c r="D7" s="6">
        <v>75</v>
      </c>
      <c r="E7" s="6">
        <v>10100</v>
      </c>
      <c r="F7" s="7">
        <f t="shared" si="0"/>
        <v>739.5</v>
      </c>
      <c r="G7" s="8">
        <f t="shared" si="1"/>
        <v>55462.5</v>
      </c>
      <c r="H7" s="8">
        <f t="shared" si="2"/>
        <v>32051.5</v>
      </c>
    </row>
    <row r="8" spans="1:8" x14ac:dyDescent="0.3">
      <c r="A8" s="11">
        <v>46204</v>
      </c>
      <c r="B8" s="5">
        <v>26500</v>
      </c>
      <c r="C8" s="4">
        <v>0.03</v>
      </c>
      <c r="D8" s="6">
        <v>76</v>
      </c>
      <c r="E8" s="6">
        <v>10300</v>
      </c>
      <c r="F8" s="7">
        <f t="shared" si="0"/>
        <v>795</v>
      </c>
      <c r="G8" s="8">
        <f t="shared" si="1"/>
        <v>60420</v>
      </c>
      <c r="H8" s="8">
        <f t="shared" si="2"/>
        <v>35810</v>
      </c>
    </row>
    <row r="9" spans="1:8" x14ac:dyDescent="0.3">
      <c r="A9" s="11">
        <v>46235</v>
      </c>
      <c r="B9" s="5">
        <v>25000</v>
      </c>
      <c r="C9" s="4">
        <v>2.8000000000000001E-2</v>
      </c>
      <c r="D9" s="6">
        <v>76</v>
      </c>
      <c r="E9" s="6">
        <v>9800</v>
      </c>
      <c r="F9" s="7">
        <f t="shared" si="0"/>
        <v>700</v>
      </c>
      <c r="G9" s="8">
        <f t="shared" si="1"/>
        <v>53200</v>
      </c>
      <c r="H9" s="8">
        <f t="shared" si="2"/>
        <v>30800</v>
      </c>
    </row>
    <row r="10" spans="1:8" x14ac:dyDescent="0.3">
      <c r="A10" s="11">
        <v>46266</v>
      </c>
      <c r="B10" s="5">
        <v>27500</v>
      </c>
      <c r="C10" s="4">
        <v>3.1E-2</v>
      </c>
      <c r="D10" s="6">
        <v>78</v>
      </c>
      <c r="E10" s="6">
        <v>11000</v>
      </c>
      <c r="F10" s="7">
        <f t="shared" si="0"/>
        <v>852.5</v>
      </c>
      <c r="G10" s="8">
        <f t="shared" si="1"/>
        <v>66495</v>
      </c>
      <c r="H10" s="8">
        <f t="shared" si="2"/>
        <v>40150</v>
      </c>
    </row>
    <row r="11" spans="1:8" x14ac:dyDescent="0.3">
      <c r="A11" s="11">
        <v>46296</v>
      </c>
      <c r="B11" s="5">
        <v>29500</v>
      </c>
      <c r="C11" s="4">
        <v>3.2000000000000001E-2</v>
      </c>
      <c r="D11" s="6">
        <v>79</v>
      </c>
      <c r="E11" s="6">
        <v>11800</v>
      </c>
      <c r="F11" s="7">
        <f t="shared" si="0"/>
        <v>944</v>
      </c>
      <c r="G11" s="8">
        <f t="shared" si="1"/>
        <v>74576</v>
      </c>
      <c r="H11" s="8">
        <f t="shared" si="2"/>
        <v>45784</v>
      </c>
    </row>
    <row r="12" spans="1:8" x14ac:dyDescent="0.3">
      <c r="A12" s="11">
        <v>46327</v>
      </c>
      <c r="B12" s="5">
        <v>34000</v>
      </c>
      <c r="C12" s="4">
        <v>3.5000000000000003E-2</v>
      </c>
      <c r="D12" s="6">
        <v>82</v>
      </c>
      <c r="E12" s="6">
        <v>14500</v>
      </c>
      <c r="F12" s="7">
        <f t="shared" si="0"/>
        <v>1190</v>
      </c>
      <c r="G12" s="8">
        <f t="shared" si="1"/>
        <v>97580</v>
      </c>
      <c r="H12" s="8">
        <f t="shared" si="2"/>
        <v>61660</v>
      </c>
    </row>
    <row r="13" spans="1:8" x14ac:dyDescent="0.3">
      <c r="A13" s="11">
        <v>46357</v>
      </c>
      <c r="B13" s="5">
        <v>41000</v>
      </c>
      <c r="C13" s="4">
        <v>3.9E-2</v>
      </c>
      <c r="D13" s="6">
        <v>85</v>
      </c>
      <c r="E13" s="6">
        <v>18000</v>
      </c>
      <c r="F13" s="7">
        <f t="shared" si="0"/>
        <v>1599</v>
      </c>
      <c r="G13" s="8">
        <f t="shared" si="1"/>
        <v>135915</v>
      </c>
      <c r="H13" s="8">
        <f t="shared" si="2"/>
        <v>89133</v>
      </c>
    </row>
    <row r="14" spans="1:8" x14ac:dyDescent="0.3">
      <c r="G14" s="19"/>
    </row>
    <row r="16" spans="1:8" ht="28.8" x14ac:dyDescent="0.3">
      <c r="A16" s="9" t="s">
        <v>8</v>
      </c>
      <c r="B16" s="10">
        <v>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89B76-FBF7-4458-9AB3-79B40836C282}">
  <sheetPr>
    <outlinePr summaryBelow="0"/>
  </sheetPr>
  <dimension ref="B1:G15"/>
  <sheetViews>
    <sheetView showGridLines="0" workbookViewId="0">
      <selection activeCell="G12" sqref="G12"/>
    </sheetView>
  </sheetViews>
  <sheetFormatPr defaultRowHeight="14.4" outlineLevelRow="1" outlineLevelCol="1" x14ac:dyDescent="0.3"/>
  <cols>
    <col min="3" max="3" width="14.109375" bestFit="1" customWidth="1"/>
    <col min="4" max="7" width="23.109375" bestFit="1" customWidth="1" outlineLevel="1"/>
  </cols>
  <sheetData>
    <row r="1" spans="2:7" ht="15" thickBot="1" x14ac:dyDescent="0.35"/>
    <row r="2" spans="2:7" ht="15.6" x14ac:dyDescent="0.3">
      <c r="B2" s="28" t="s">
        <v>28</v>
      </c>
      <c r="C2" s="28"/>
      <c r="D2" s="33"/>
      <c r="E2" s="33"/>
      <c r="F2" s="33"/>
      <c r="G2" s="33"/>
    </row>
    <row r="3" spans="2:7" ht="15.6" collapsed="1" x14ac:dyDescent="0.3">
      <c r="B3" s="27"/>
      <c r="C3" s="27"/>
      <c r="D3" s="34" t="s">
        <v>30</v>
      </c>
      <c r="E3" s="34" t="s">
        <v>39</v>
      </c>
      <c r="F3" s="34" t="s">
        <v>40</v>
      </c>
      <c r="G3" s="34" t="s">
        <v>37</v>
      </c>
    </row>
    <row r="4" spans="2:7" ht="32.4" hidden="1" outlineLevel="1" x14ac:dyDescent="0.3">
      <c r="B4" s="30"/>
      <c r="C4" s="30"/>
      <c r="D4" s="21"/>
      <c r="E4" s="39" t="s">
        <v>27</v>
      </c>
      <c r="F4" s="39" t="s">
        <v>27</v>
      </c>
      <c r="G4" s="39" t="s">
        <v>41</v>
      </c>
    </row>
    <row r="5" spans="2:7" x14ac:dyDescent="0.3">
      <c r="B5" s="31" t="s">
        <v>29</v>
      </c>
      <c r="C5" s="31"/>
      <c r="D5" s="29"/>
      <c r="E5" s="29"/>
      <c r="F5" s="29"/>
      <c r="G5" s="29"/>
    </row>
    <row r="6" spans="2:7" outlineLevel="1" x14ac:dyDescent="0.3">
      <c r="B6" s="30"/>
      <c r="C6" s="30" t="s">
        <v>1</v>
      </c>
      <c r="D6" s="22">
        <v>50000</v>
      </c>
      <c r="E6" s="35">
        <v>50000</v>
      </c>
      <c r="F6" s="35">
        <v>25000</v>
      </c>
      <c r="G6" s="35">
        <v>15000</v>
      </c>
    </row>
    <row r="7" spans="2:7" outlineLevel="1" x14ac:dyDescent="0.3">
      <c r="B7" s="30"/>
      <c r="C7" s="30" t="s">
        <v>22</v>
      </c>
      <c r="D7" s="23">
        <v>0.04</v>
      </c>
      <c r="E7" s="36">
        <v>0.04</v>
      </c>
      <c r="F7" s="36">
        <v>2.5000000000000001E-2</v>
      </c>
      <c r="G7" s="36">
        <v>1.4999999999999999E-2</v>
      </c>
    </row>
    <row r="8" spans="2:7" outlineLevel="1" x14ac:dyDescent="0.3">
      <c r="B8" s="30"/>
      <c r="C8" s="30" t="s">
        <v>23</v>
      </c>
      <c r="D8" s="24">
        <v>80</v>
      </c>
      <c r="E8" s="37">
        <v>80</v>
      </c>
      <c r="F8" s="37">
        <v>60</v>
      </c>
      <c r="G8" s="37">
        <v>50</v>
      </c>
    </row>
    <row r="9" spans="2:7" outlineLevel="1" x14ac:dyDescent="0.3">
      <c r="B9" s="30"/>
      <c r="C9" s="30" t="s">
        <v>24</v>
      </c>
      <c r="D9" s="24">
        <v>13000</v>
      </c>
      <c r="E9" s="37">
        <v>13000</v>
      </c>
      <c r="F9" s="37">
        <v>20000</v>
      </c>
      <c r="G9" s="37">
        <v>25000</v>
      </c>
    </row>
    <row r="10" spans="2:7" outlineLevel="1" x14ac:dyDescent="0.3">
      <c r="B10" s="30"/>
      <c r="C10" s="30" t="s">
        <v>25</v>
      </c>
      <c r="D10" s="25">
        <v>0.06</v>
      </c>
      <c r="E10" s="38">
        <v>0.06</v>
      </c>
      <c r="F10" s="38">
        <v>0.03</v>
      </c>
      <c r="G10" s="38">
        <v>0.03</v>
      </c>
    </row>
    <row r="11" spans="2:7" x14ac:dyDescent="0.3">
      <c r="B11" s="31" t="s">
        <v>31</v>
      </c>
      <c r="C11" s="31"/>
      <c r="D11" s="29"/>
      <c r="E11" s="29"/>
      <c r="F11" s="29"/>
      <c r="G11" s="29"/>
    </row>
    <row r="12" spans="2:7" ht="15" outlineLevel="1" thickBot="1" x14ac:dyDescent="0.35">
      <c r="B12" s="32"/>
      <c r="C12" s="32" t="s">
        <v>38</v>
      </c>
      <c r="D12" s="26">
        <v>101400</v>
      </c>
      <c r="E12" s="26">
        <v>101400</v>
      </c>
      <c r="F12" s="26">
        <v>5125</v>
      </c>
      <c r="G12" s="26">
        <v>-18137.5</v>
      </c>
    </row>
    <row r="13" spans="2:7" x14ac:dyDescent="0.3">
      <c r="B13" t="s">
        <v>32</v>
      </c>
    </row>
    <row r="14" spans="2:7" x14ac:dyDescent="0.3">
      <c r="B14" t="s">
        <v>33</v>
      </c>
    </row>
    <row r="15" spans="2:7" x14ac:dyDescent="0.3">
      <c r="B15" t="s">
        <v>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6D26C-238B-4B8F-B924-2EFD93342348}">
  <dimension ref="A1:H9"/>
  <sheetViews>
    <sheetView workbookViewId="0">
      <selection activeCell="A9" sqref="A9:B9"/>
    </sheetView>
  </sheetViews>
  <sheetFormatPr defaultRowHeight="14.4" x14ac:dyDescent="0.3"/>
  <cols>
    <col min="1" max="1" width="41.5546875" bestFit="1" customWidth="1"/>
    <col min="2" max="2" width="21.77734375" bestFit="1" customWidth="1"/>
    <col min="4" max="4" width="28.6640625" bestFit="1" customWidth="1"/>
    <col min="5" max="5" width="11.5546875" customWidth="1"/>
    <col min="6" max="6" width="24.21875" bestFit="1" customWidth="1"/>
    <col min="8" max="8" width="23" bestFit="1" customWidth="1"/>
  </cols>
  <sheetData>
    <row r="1" spans="1:8" ht="23.4" x14ac:dyDescent="0.45">
      <c r="A1" s="40" t="s">
        <v>26</v>
      </c>
      <c r="B1" s="40"/>
      <c r="D1" s="41" t="s">
        <v>35</v>
      </c>
      <c r="F1" s="41" t="s">
        <v>36</v>
      </c>
      <c r="H1" s="41" t="s">
        <v>37</v>
      </c>
    </row>
    <row r="2" spans="1:8" ht="25.8" x14ac:dyDescent="0.5">
      <c r="A2" s="17" t="s">
        <v>1</v>
      </c>
      <c r="B2" s="13">
        <v>25000</v>
      </c>
      <c r="D2" s="13">
        <v>50000</v>
      </c>
      <c r="F2" s="13">
        <v>25000</v>
      </c>
      <c r="H2" s="13">
        <v>15000</v>
      </c>
    </row>
    <row r="3" spans="1:8" ht="25.8" x14ac:dyDescent="0.5">
      <c r="A3" s="17" t="s">
        <v>18</v>
      </c>
      <c r="B3" s="14">
        <v>2.5000000000000001E-2</v>
      </c>
      <c r="D3" s="14">
        <v>0.04</v>
      </c>
      <c r="F3" s="14">
        <v>2.5000000000000001E-2</v>
      </c>
      <c r="H3" s="14">
        <v>1.4999999999999999E-2</v>
      </c>
    </row>
    <row r="4" spans="1:8" ht="25.8" x14ac:dyDescent="0.5">
      <c r="A4" s="17" t="s">
        <v>19</v>
      </c>
      <c r="B4" s="15">
        <v>60</v>
      </c>
      <c r="D4" s="15">
        <v>80</v>
      </c>
      <c r="F4" s="15">
        <v>60</v>
      </c>
      <c r="H4" s="15">
        <v>50</v>
      </c>
    </row>
    <row r="5" spans="1:8" ht="25.8" x14ac:dyDescent="0.5">
      <c r="A5" s="17" t="s">
        <v>4</v>
      </c>
      <c r="B5" s="15">
        <v>20000</v>
      </c>
      <c r="D5" s="15">
        <v>13000</v>
      </c>
      <c r="F5" s="15">
        <v>20000</v>
      </c>
      <c r="H5" s="15">
        <v>25000</v>
      </c>
    </row>
    <row r="6" spans="1:8" ht="25.8" x14ac:dyDescent="0.5">
      <c r="A6" s="17" t="s">
        <v>20</v>
      </c>
      <c r="B6" s="16">
        <v>0.03</v>
      </c>
      <c r="D6" s="16">
        <v>0.06</v>
      </c>
      <c r="F6" s="16">
        <v>0.03</v>
      </c>
      <c r="H6" s="16">
        <v>0.09</v>
      </c>
    </row>
    <row r="9" spans="1:8" ht="25.8" x14ac:dyDescent="0.5">
      <c r="A9" s="18" t="s">
        <v>7</v>
      </c>
      <c r="B9" s="20">
        <f>(PrezzoMedio*Visitatori*ConversionRate)-(CostiAds+(PrezzoMedio*Visitatori*ConversionRate*Commissione)+(Visitatori*ConversionRate*18))</f>
        <v>5125</v>
      </c>
    </row>
  </sheetData>
  <scenarios current="1" show="1" sqref="B9">
    <scenario name="Scenario Crescita Aggressiva" locked="1" count="5" user="Riccardo Izzi" comment="Creato da: Riccardo Izzi il 16/05/2026">
      <inputCells r="B2" val="50000" numFmtId="3"/>
      <inputCells r="B3" val="0,04" numFmtId="10"/>
      <inputCells r="B4" val="80" numFmtId="169"/>
      <inputCells r="B5" val="13000" numFmtId="169"/>
      <inputCells r="B6" val="0,06" numFmtId="9"/>
    </scenario>
    <scenario name="Scenario Crisi Economica" locked="1" count="5" user="Riccardo Izzi" comment="Creato da: Riccardo Izzi il 16/05/2026">
      <inputCells r="B2" val="25000" numFmtId="3"/>
      <inputCells r="B3" val="0,025" numFmtId="10"/>
      <inputCells r="B4" val="60" numFmtId="169"/>
      <inputCells r="B5" val="20000" numFmtId="169"/>
      <inputCells r="B6" val="0,03" numFmtId="9"/>
    </scenario>
    <scenario name="Shock Scenario" locked="1" count="5" user="Riccardo Izzi" comment="Creato da: Riccardo Izzi il 16/05/2026_x000a_Modificato da: Riccardo Izzi il 16/05/2026">
      <inputCells r="B2" val="15000" numFmtId="3"/>
      <inputCells r="B3" val="0,015" numFmtId="10"/>
      <inputCells r="B4" val="50" numFmtId="169"/>
      <inputCells r="B5" val="25000" numFmtId="169"/>
      <inputCells r="B6" val="0,03" numFmtId="9"/>
    </scenario>
  </scenarios>
  <mergeCells count="1">
    <mergeCell ref="A1:B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1718C-66A2-467D-9735-1AFAF72BE8C9}">
  <dimension ref="A1:B9"/>
  <sheetViews>
    <sheetView workbookViewId="0">
      <selection activeCell="A2" sqref="A2:B5"/>
    </sheetView>
  </sheetViews>
  <sheetFormatPr defaultRowHeight="14.4" x14ac:dyDescent="0.3"/>
  <cols>
    <col min="1" max="1" width="42.88671875" bestFit="1" customWidth="1"/>
    <col min="2" max="2" width="21.77734375" bestFit="1" customWidth="1"/>
  </cols>
  <sheetData>
    <row r="1" spans="1:2" ht="23.4" x14ac:dyDescent="0.45">
      <c r="A1" s="40" t="s">
        <v>26</v>
      </c>
      <c r="B1" s="40"/>
    </row>
    <row r="2" spans="1:2" ht="25.8" x14ac:dyDescent="0.5">
      <c r="A2" s="17" t="s">
        <v>1</v>
      </c>
      <c r="B2" s="13">
        <v>30000</v>
      </c>
    </row>
    <row r="3" spans="1:2" ht="25.8" x14ac:dyDescent="0.5">
      <c r="A3" s="17" t="s">
        <v>18</v>
      </c>
      <c r="B3" s="14">
        <v>2.8333333333333321E-2</v>
      </c>
    </row>
    <row r="4" spans="1:2" ht="25.8" x14ac:dyDescent="0.5">
      <c r="A4" s="17" t="s">
        <v>19</v>
      </c>
      <c r="B4" s="15">
        <v>78</v>
      </c>
    </row>
    <row r="5" spans="1:2" ht="25.8" x14ac:dyDescent="0.5">
      <c r="A5" s="17" t="s">
        <v>4</v>
      </c>
      <c r="B5" s="15">
        <v>11000</v>
      </c>
    </row>
    <row r="9" spans="1:2" ht="25.8" x14ac:dyDescent="0.5">
      <c r="A9" s="18" t="s">
        <v>7</v>
      </c>
      <c r="B9" s="42">
        <f>(B4*B2*B3)-(B5+(B2*B3*18))</f>
        <v>39999.999999999978</v>
      </c>
    </row>
  </sheetData>
  <mergeCells count="1">
    <mergeCell ref="A1:B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B9C95-6AF3-4EDD-9B70-2B1FBD66A6E4}">
  <dimension ref="A1:E9"/>
  <sheetViews>
    <sheetView workbookViewId="0">
      <selection activeCell="B5" sqref="B5"/>
    </sheetView>
  </sheetViews>
  <sheetFormatPr defaultRowHeight="14.4" x14ac:dyDescent="0.3"/>
  <cols>
    <col min="1" max="1" width="18.5546875" bestFit="1" customWidth="1"/>
    <col min="2" max="2" width="23.6640625" bestFit="1" customWidth="1"/>
    <col min="3" max="3" width="23" bestFit="1" customWidth="1"/>
    <col min="4" max="4" width="10.5546875" bestFit="1" customWidth="1"/>
    <col min="5" max="5" width="21.77734375" bestFit="1" customWidth="1"/>
  </cols>
  <sheetData>
    <row r="1" spans="1:5" ht="25.8" x14ac:dyDescent="0.5">
      <c r="A1" s="43" t="s">
        <v>48</v>
      </c>
      <c r="B1" s="43" t="s">
        <v>46</v>
      </c>
      <c r="C1" s="43" t="s">
        <v>47</v>
      </c>
      <c r="D1" s="44" t="s">
        <v>6</v>
      </c>
      <c r="E1" s="45" t="s">
        <v>46</v>
      </c>
    </row>
    <row r="2" spans="1:5" ht="25.8" x14ac:dyDescent="0.5">
      <c r="A2" s="17" t="s">
        <v>42</v>
      </c>
      <c r="B2" s="2">
        <v>0</v>
      </c>
      <c r="C2" s="2">
        <v>4.2</v>
      </c>
      <c r="D2">
        <f>B2*C2</f>
        <v>0</v>
      </c>
      <c r="E2" s="46">
        <v>45000</v>
      </c>
    </row>
    <row r="3" spans="1:5" ht="25.8" x14ac:dyDescent="0.5">
      <c r="A3" s="17" t="s">
        <v>43</v>
      </c>
      <c r="B3" s="2">
        <v>0</v>
      </c>
      <c r="C3" s="2">
        <v>3.8</v>
      </c>
      <c r="D3">
        <f t="shared" ref="D3:D5" si="0">B3*C3</f>
        <v>0</v>
      </c>
    </row>
    <row r="4" spans="1:5" ht="25.8" x14ac:dyDescent="0.5">
      <c r="A4" s="17" t="s">
        <v>44</v>
      </c>
      <c r="B4" s="2">
        <v>0</v>
      </c>
      <c r="C4" s="2">
        <v>3.1</v>
      </c>
      <c r="D4">
        <f t="shared" si="0"/>
        <v>0</v>
      </c>
    </row>
    <row r="5" spans="1:5" ht="25.8" x14ac:dyDescent="0.5">
      <c r="A5" s="17" t="s">
        <v>45</v>
      </c>
      <c r="B5" s="2">
        <v>45000</v>
      </c>
      <c r="C5" s="2">
        <v>5</v>
      </c>
      <c r="D5">
        <f t="shared" si="0"/>
        <v>225000</v>
      </c>
    </row>
    <row r="6" spans="1:5" x14ac:dyDescent="0.3">
      <c r="B6">
        <f>SUM(B2:B5)</f>
        <v>45000</v>
      </c>
      <c r="D6">
        <f>SUM(D2:D5)</f>
        <v>225000</v>
      </c>
    </row>
    <row r="7" spans="1:5" x14ac:dyDescent="0.3">
      <c r="E7">
        <f>B6*0.25</f>
        <v>11250</v>
      </c>
    </row>
    <row r="8" spans="1:5" x14ac:dyDescent="0.3">
      <c r="E8">
        <f>2*B4</f>
        <v>0</v>
      </c>
    </row>
    <row r="9" spans="1:5" ht="25.8" x14ac:dyDescent="0.5">
      <c r="A9" s="17" t="s">
        <v>21</v>
      </c>
      <c r="B9" s="46">
        <f>D6-B6</f>
        <v>180000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834D0-F61A-4175-B8E6-9C5D76A815C6}">
  <dimension ref="A1:E9"/>
  <sheetViews>
    <sheetView tabSelected="1" workbookViewId="0">
      <selection activeCell="G7" sqref="G7"/>
    </sheetView>
  </sheetViews>
  <sheetFormatPr defaultRowHeight="14.4" x14ac:dyDescent="0.3"/>
  <cols>
    <col min="1" max="1" width="26.77734375" bestFit="1" customWidth="1"/>
    <col min="2" max="2" width="16.77734375" bestFit="1" customWidth="1"/>
    <col min="4" max="5" width="10.88671875" bestFit="1" customWidth="1"/>
  </cols>
  <sheetData>
    <row r="1" spans="1:5" x14ac:dyDescent="0.3">
      <c r="A1" s="1" t="s">
        <v>49</v>
      </c>
      <c r="B1" s="3" t="s">
        <v>50</v>
      </c>
      <c r="D1" s="1" t="s">
        <v>51</v>
      </c>
      <c r="E1" s="8">
        <f>B9</f>
        <v>43800</v>
      </c>
    </row>
    <row r="2" spans="1:5" ht="25.8" x14ac:dyDescent="0.5">
      <c r="A2" s="17" t="s">
        <v>1</v>
      </c>
      <c r="B2" s="13">
        <v>30000</v>
      </c>
      <c r="D2" s="48">
        <v>0.02</v>
      </c>
      <c r="E2" s="50">
        <f t="dataTable" ref="E2:E8" dt2D="0" dtr="0" r1="B3"/>
        <v>25200</v>
      </c>
    </row>
    <row r="3" spans="1:5" ht="25.8" x14ac:dyDescent="0.5">
      <c r="A3" s="17" t="s">
        <v>18</v>
      </c>
      <c r="B3" s="14">
        <v>0.03</v>
      </c>
      <c r="D3" s="49">
        <v>2.5000000000000001E-2</v>
      </c>
      <c r="E3" s="50">
        <v>34500</v>
      </c>
    </row>
    <row r="4" spans="1:5" ht="25.8" x14ac:dyDescent="0.5">
      <c r="A4" s="17" t="s">
        <v>3</v>
      </c>
      <c r="B4" s="15">
        <v>80</v>
      </c>
      <c r="D4" s="48">
        <v>0.03</v>
      </c>
      <c r="E4" s="50">
        <v>43800</v>
      </c>
    </row>
    <row r="5" spans="1:5" ht="25.8" x14ac:dyDescent="0.5">
      <c r="A5" s="17" t="s">
        <v>4</v>
      </c>
      <c r="B5" s="15">
        <v>12000</v>
      </c>
      <c r="D5" s="49">
        <v>3.5000000000000003E-2</v>
      </c>
      <c r="E5" s="50">
        <v>53100.000000000015</v>
      </c>
    </row>
    <row r="6" spans="1:5" ht="25.8" x14ac:dyDescent="0.5">
      <c r="D6" s="48">
        <v>0.04</v>
      </c>
      <c r="E6" s="50">
        <v>62400</v>
      </c>
    </row>
    <row r="7" spans="1:5" ht="25.8" x14ac:dyDescent="0.5">
      <c r="D7" s="49">
        <v>4.4999999999999998E-2</v>
      </c>
      <c r="E7" s="50">
        <v>71700</v>
      </c>
    </row>
    <row r="8" spans="1:5" ht="25.8" x14ac:dyDescent="0.5">
      <c r="D8" s="48">
        <v>0.05</v>
      </c>
      <c r="E8" s="50">
        <v>81000</v>
      </c>
    </row>
    <row r="9" spans="1:5" ht="25.8" x14ac:dyDescent="0.5">
      <c r="A9" s="17" t="s">
        <v>21</v>
      </c>
      <c r="B9" s="15">
        <f>(B4*B2*B3)-(B5+(B2*B3*18))</f>
        <v>43800</v>
      </c>
      <c r="D9" s="4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9</vt:i4>
      </vt:variant>
      <vt:variant>
        <vt:lpstr>Intervalli denominati</vt:lpstr>
      </vt:variant>
      <vt:variant>
        <vt:i4>5</vt:i4>
      </vt:variant>
    </vt:vector>
  </HeadingPairs>
  <TitlesOfParts>
    <vt:vector size="14" baseType="lpstr">
      <vt:lpstr>Forecast_Visitatori</vt:lpstr>
      <vt:lpstr>Forecast_Ricavi</vt:lpstr>
      <vt:lpstr>Forecast_Profitto</vt:lpstr>
      <vt:lpstr>Storico_Vendite</vt:lpstr>
      <vt:lpstr>Riepilogo scenari</vt:lpstr>
      <vt:lpstr>Gestione Scenari</vt:lpstr>
      <vt:lpstr>Goal_Seek</vt:lpstr>
      <vt:lpstr>Solver</vt:lpstr>
      <vt:lpstr>Data Tables</vt:lpstr>
      <vt:lpstr>Commissione</vt:lpstr>
      <vt:lpstr>ConversionRate</vt:lpstr>
      <vt:lpstr>CostiAds</vt:lpstr>
      <vt:lpstr>PrezzoMedio</vt:lpstr>
      <vt:lpstr>Visitatori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Riccardo Izzi</dc:creator>
  <cp:lastModifiedBy>Riccardo Izzi</cp:lastModifiedBy>
  <dcterms:created xsi:type="dcterms:W3CDTF">2026-05-16T10:38:46Z</dcterms:created>
  <dcterms:modified xsi:type="dcterms:W3CDTF">2026-05-16T14:44:17Z</dcterms:modified>
</cp:coreProperties>
</file>