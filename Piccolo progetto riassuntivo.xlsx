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fbaa0ee462193b/Desktop/Esercitazioni Excel/"/>
    </mc:Choice>
  </mc:AlternateContent>
  <xr:revisionPtr revIDLastSave="0" documentId="8_{A60FA4ED-71E8-4600-AB63-71BB2975F802}" xr6:coauthVersionLast="47" xr6:coauthVersionMax="47" xr10:uidLastSave="{00000000-0000-0000-0000-000000000000}"/>
  <bookViews>
    <workbookView xWindow="-108" yWindow="-108" windowWidth="23256" windowHeight="12456" xr2:uid="{E1D6866E-6986-4B43-9F8B-2A4ACAA7645A}"/>
  </bookViews>
  <sheets>
    <sheet name="Dataset" sheetId="1" r:id="rId1"/>
    <sheet name="Calcolatore" sheetId="2" r:id="rId2"/>
    <sheet name="Validazione" sheetId="3" r:id="rId3"/>
    <sheet name="Salario" sheetId="4" r:id="rId4"/>
  </sheets>
  <definedNames>
    <definedName name="_xlchart.v1.10" hidden="1">Dataset!$H$2:$H$13</definedName>
    <definedName name="_xlchart.v1.3" hidden="1">Dataset!$D$10:$D$13</definedName>
    <definedName name="_xlchart.v1.4" hidden="1">Dataset!$D$14:$D$21</definedName>
    <definedName name="_xlchart.v1.5" hidden="1">Dataset!$D$2:$D$13</definedName>
    <definedName name="_xlchart.v1.6" hidden="1">Dataset!$H$2:$H$13</definedName>
    <definedName name="_xlchart.v1.7" hidden="1">Dataset!$I$10:$I$13</definedName>
    <definedName name="_xlchart.v1.8" hidden="1">Dataset!$I$14:$I$21</definedName>
    <definedName name="_xlchart.v1.9" hidden="1">Dataset!$D$2:$D$13</definedName>
    <definedName name="_xlchart.v5.0" hidden="1">Dataset!$B$35</definedName>
    <definedName name="_xlchart.v5.1" hidden="1">Dataset!$B$36:$B$41</definedName>
    <definedName name="_xlchart.v5.2" hidden="1">Dataset!$C$36:$C$41</definedName>
    <definedName name="deviazione">Salario!$E$16</definedName>
    <definedName name="FiltroDati_Paese">#N/A</definedName>
    <definedName name="FiltroDati_Ruolo">#N/A</definedName>
    <definedName name="FiltroDati_Salario_annuo__€">#N/A</definedName>
    <definedName name="media">Salario!$H$3</definedName>
    <definedName name="media_salario">Salario!$F$3</definedName>
    <definedName name="mediana">Salario!$E$10</definedName>
    <definedName name="Titolo">Calcolatore!$K$5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5"/>
        <x14:slicerCache r:id="rId6"/>
        <x14:slicerCache r:id="rId7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1" l="1"/>
  <c r="P6" i="1"/>
  <c r="P11" i="1"/>
  <c r="P4" i="1"/>
  <c r="P9" i="1"/>
  <c r="P3" i="1"/>
  <c r="P12" i="1"/>
  <c r="P5" i="1"/>
  <c r="P13" i="1"/>
  <c r="P2" i="1"/>
  <c r="P10" i="1"/>
  <c r="P7" i="1"/>
  <c r="B35" i="1" a="1"/>
  <c r="B35" i="1" s="1"/>
  <c r="P19" i="1"/>
  <c r="P18" i="1"/>
  <c r="O8" i="1"/>
  <c r="O6" i="1"/>
  <c r="O11" i="1"/>
  <c r="O4" i="1"/>
  <c r="O9" i="1"/>
  <c r="O3" i="1"/>
  <c r="O12" i="1"/>
  <c r="O5" i="1"/>
  <c r="O13" i="1"/>
  <c r="O2" i="1"/>
  <c r="O10" i="1"/>
  <c r="O7" i="1"/>
  <c r="B3" i="4" a="1"/>
  <c r="B3" i="4" s="1"/>
  <c r="B4" i="3" a="1"/>
  <c r="B4" i="3" s="1"/>
  <c r="C38" i="1" l="1"/>
  <c r="C37" i="1"/>
  <c r="P20" i="1"/>
  <c r="Q19" i="1" s="1"/>
  <c r="C41" i="1"/>
  <c r="C40" i="1"/>
  <c r="C39" i="1"/>
  <c r="C36" i="1"/>
  <c r="C4" i="3"/>
  <c r="C7" i="3"/>
  <c r="C5" i="3"/>
  <c r="C3" i="4"/>
  <c r="B10" i="4" a="1"/>
  <c r="C6" i="3"/>
  <c r="C6" i="4"/>
  <c r="C5" i="4"/>
  <c r="C4" i="4"/>
  <c r="Q18" i="1" l="1"/>
  <c r="E4" i="3" a="1"/>
  <c r="E4" i="3" s="1"/>
  <c r="E3" i="4" a="1"/>
  <c r="E3" i="4" s="1"/>
  <c r="H3" i="4" s="1"/>
  <c r="G10" i="2" s="1"/>
  <c r="B10" i="4"/>
  <c r="C10" i="4" s="1" a="1"/>
  <c r="C10" i="4" s="1"/>
  <c r="C12" i="4" a="1"/>
  <c r="C12" i="4" s="1"/>
  <c r="C13" i="4" a="1"/>
  <c r="C13" i="4" s="1"/>
  <c r="C11" i="4" a="1"/>
  <c r="C11" i="4" s="1"/>
  <c r="E10" i="4" l="1" a="1"/>
  <c r="E10" i="4" s="1"/>
  <c r="K10" i="2" s="1"/>
  <c r="B16" i="4" a="1"/>
  <c r="C17" i="4" s="1" a="1"/>
  <c r="C17" i="4" s="1"/>
  <c r="B16" i="4" l="1"/>
  <c r="C16" i="4" s="1" a="1"/>
  <c r="C16" i="4" s="1"/>
  <c r="C19" i="4" a="1"/>
  <c r="C19" i="4" s="1"/>
  <c r="C18" i="4" a="1"/>
  <c r="C18" i="4" s="1"/>
  <c r="M8" i="1" a="1"/>
  <c r="M8" i="1" s="1"/>
  <c r="M6" i="1" a="1"/>
  <c r="M6" i="1" s="1"/>
  <c r="M11" i="1" a="1"/>
  <c r="M11" i="1" s="1"/>
  <c r="M4" i="1" a="1"/>
  <c r="M4" i="1" s="1"/>
  <c r="M9" i="1" a="1"/>
  <c r="M9" i="1" s="1"/>
  <c r="M3" i="1" a="1"/>
  <c r="M3" i="1" s="1"/>
  <c r="M12" i="1" a="1"/>
  <c r="M12" i="1" s="1"/>
  <c r="M5" i="1" a="1"/>
  <c r="M5" i="1" s="1"/>
  <c r="M13" i="1" a="1"/>
  <c r="M13" i="1" s="1"/>
  <c r="M2" i="1" a="1"/>
  <c r="M2" i="1" s="1"/>
  <c r="M10" i="1" a="1"/>
  <c r="M10" i="1" s="1"/>
  <c r="M7" i="1" a="1"/>
  <c r="M7" i="1" s="1"/>
  <c r="H14" i="1"/>
  <c r="N7" i="1" s="1"/>
  <c r="E16" i="4" l="1" a="1"/>
  <c r="E16" i="4" s="1"/>
  <c r="O10" i="2" s="1"/>
  <c r="N10" i="1"/>
  <c r="N2" i="1"/>
  <c r="N13" i="1"/>
  <c r="N5" i="1"/>
  <c r="N12" i="1"/>
  <c r="N3" i="1"/>
  <c r="N9" i="1"/>
  <c r="N4" i="1"/>
  <c r="N11" i="1"/>
  <c r="N6" i="1"/>
  <c r="N8" i="1"/>
  <c r="L8" i="1"/>
  <c r="L6" i="1"/>
  <c r="L11" i="1"/>
  <c r="L4" i="1"/>
  <c r="L9" i="1"/>
  <c r="L3" i="1"/>
  <c r="L12" i="1"/>
  <c r="L5" i="1"/>
  <c r="L13" i="1"/>
  <c r="L2" i="1"/>
  <c r="L10" i="1"/>
  <c r="L7" i="1"/>
  <c r="L14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<sst xmlns="http://schemas.openxmlformats.org/spreadsheetml/2006/main" count="113" uniqueCount="72">
  <si>
    <t>ID</t>
  </si>
  <si>
    <t>Nome</t>
  </si>
  <si>
    <t>Cognome</t>
  </si>
  <si>
    <t>Ruolo</t>
  </si>
  <si>
    <t>Città</t>
  </si>
  <si>
    <t>Paese</t>
  </si>
  <si>
    <t>Esperienza_anni</t>
  </si>
  <si>
    <t>Salario_annuo (€)</t>
  </si>
  <si>
    <t>Data_Assunzione</t>
  </si>
  <si>
    <t>Tipo_Contratto</t>
  </si>
  <si>
    <t>Full_Remote</t>
  </si>
  <si>
    <t>Luca</t>
  </si>
  <si>
    <t>Rossi</t>
  </si>
  <si>
    <t>Data Analyst</t>
  </si>
  <si>
    <t>Milano</t>
  </si>
  <si>
    <t>Italia</t>
  </si>
  <si>
    <t>Full-Time</t>
  </si>
  <si>
    <t>SI</t>
  </si>
  <si>
    <t>Anna</t>
  </si>
  <si>
    <t>Bianchi</t>
  </si>
  <si>
    <t>Data Scientist</t>
  </si>
  <si>
    <t>Roma</t>
  </si>
  <si>
    <t>NO</t>
  </si>
  <si>
    <t>Marco</t>
  </si>
  <si>
    <t>Verdi</t>
  </si>
  <si>
    <t>Data Engineer</t>
  </si>
  <si>
    <t>Berlino</t>
  </si>
  <si>
    <t>Germania</t>
  </si>
  <si>
    <t>Sara</t>
  </si>
  <si>
    <t>Neri</t>
  </si>
  <si>
    <t>Madrid</t>
  </si>
  <si>
    <t>Spagna</t>
  </si>
  <si>
    <t>Part-Time</t>
  </si>
  <si>
    <t>Paolo</t>
  </si>
  <si>
    <t>Galli</t>
  </si>
  <si>
    <t>ML Engineer</t>
  </si>
  <si>
    <t>Parigi</t>
  </si>
  <si>
    <t>Francia</t>
  </si>
  <si>
    <t>Giulia</t>
  </si>
  <si>
    <t>Costa</t>
  </si>
  <si>
    <t>Stage</t>
  </si>
  <si>
    <t>Davide</t>
  </si>
  <si>
    <t>Conti</t>
  </si>
  <si>
    <t>Londra</t>
  </si>
  <si>
    <t>UK</t>
  </si>
  <si>
    <t>Elena</t>
  </si>
  <si>
    <t>Ferri</t>
  </si>
  <si>
    <t>Amsterdam</t>
  </si>
  <si>
    <t>Olanda</t>
  </si>
  <si>
    <t>Fabio</t>
  </si>
  <si>
    <t>Romano</t>
  </si>
  <si>
    <t>Marta</t>
  </si>
  <si>
    <t>Greco</t>
  </si>
  <si>
    <t>Simone</t>
  </si>
  <si>
    <t>Ricci</t>
  </si>
  <si>
    <t>Chiara</t>
  </si>
  <si>
    <t>Leone</t>
  </si>
  <si>
    <t>Salario_mensile</t>
  </si>
  <si>
    <t>Totale</t>
  </si>
  <si>
    <t>Categoria</t>
  </si>
  <si>
    <t>Salario Top o basso?</t>
  </si>
  <si>
    <t>DATI UTILI PER OGNI LAVORO</t>
  </si>
  <si>
    <t>MEDIA</t>
  </si>
  <si>
    <t>MEDIANA</t>
  </si>
  <si>
    <t>DEVIAZIONE STANDARD</t>
  </si>
  <si>
    <t>DEV. STANDARD</t>
  </si>
  <si>
    <t>Anno assunzione</t>
  </si>
  <si>
    <t>% Remoto o non remoto</t>
  </si>
  <si>
    <t>Remoto</t>
  </si>
  <si>
    <t>Non Remoto</t>
  </si>
  <si>
    <t>TOTALE</t>
  </si>
  <si>
    <t>Nome 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</si>
</sst>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43" formatCode="_-* #,##0.00_-;\-* #,##0.00_-;_-* &quot;-&quot;??_-;_-@_-"/>
    <numFmt numFmtId="168" formatCode="#,##0.00\ &quot;€&quot;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  <font>
      <b/>
      <sz val="16"/>
      <color theme="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0" applyNumberFormat="0" applyFill="0" applyBorder="0" applyAlignment="0" applyProtection="0"/>
    <xf numFmtId="0" fontId="5" fillId="2" borderId="0" applyNumberFormat="0" applyBorder="0" applyAlignment="0" applyProtection="0"/>
  </cellStyleXfs>
  <cellXfs count="24">
    <xf numFmtId="0" fontId="0" fillId="0" borderId="0" xfId="0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43" fontId="0" fillId="0" borderId="0" xfId="1" applyFont="1"/>
    <xf numFmtId="168" fontId="4" fillId="0" borderId="0" xfId="1" applyNumberFormat="1" applyFont="1" applyAlignment="1">
      <alignment horizontal="center" vertical="center" wrapText="1"/>
    </xf>
    <xf numFmtId="168" fontId="0" fillId="0" borderId="0" xfId="1" applyNumberFormat="1" applyFont="1" applyAlignment="1">
      <alignment vertical="center" wrapText="1"/>
    </xf>
    <xf numFmtId="168" fontId="0" fillId="0" borderId="0" xfId="1" applyNumberFormat="1" applyFont="1"/>
    <xf numFmtId="44" fontId="4" fillId="0" borderId="0" xfId="2" applyFont="1" applyAlignment="1">
      <alignment horizontal="center" vertical="center" wrapText="1"/>
    </xf>
    <xf numFmtId="44" fontId="0" fillId="0" borderId="0" xfId="2" applyFont="1" applyAlignment="1">
      <alignment vertical="center" wrapText="1"/>
    </xf>
    <xf numFmtId="44" fontId="0" fillId="0" borderId="0" xfId="2" applyFont="1"/>
    <xf numFmtId="0" fontId="0" fillId="0" borderId="3" xfId="0" applyBorder="1"/>
    <xf numFmtId="0" fontId="0" fillId="0" borderId="0" xfId="0" applyBorder="1"/>
    <xf numFmtId="44" fontId="0" fillId="0" borderId="0" xfId="2" applyFont="1" applyBorder="1"/>
    <xf numFmtId="44" fontId="0" fillId="0" borderId="0" xfId="0" applyNumberFormat="1" applyAlignment="1">
      <alignment vertical="center" wrapText="1"/>
    </xf>
    <xf numFmtId="0" fontId="0" fillId="0" borderId="0" xfId="0" applyNumberFormat="1" applyAlignment="1">
      <alignment vertical="center" wrapText="1"/>
    </xf>
    <xf numFmtId="168" fontId="0" fillId="0" borderId="0" xfId="0" applyNumberFormat="1" applyAlignment="1">
      <alignment vertical="center" wrapText="1"/>
    </xf>
    <xf numFmtId="0" fontId="2" fillId="0" borderId="1" xfId="3" applyAlignment="1">
      <alignment horizontal="center"/>
    </xf>
    <xf numFmtId="0" fontId="8" fillId="3" borderId="2" xfId="4" applyFont="1" applyFill="1" applyBorder="1" applyAlignment="1">
      <alignment horizontal="center"/>
    </xf>
    <xf numFmtId="44" fontId="6" fillId="0" borderId="0" xfId="2" applyFont="1" applyAlignment="1"/>
    <xf numFmtId="0" fontId="7" fillId="2" borderId="0" xfId="5" applyFont="1" applyProtection="1">
      <protection locked="0"/>
    </xf>
    <xf numFmtId="43" fontId="0" fillId="0" borderId="3" xfId="1" applyFont="1" applyBorder="1"/>
    <xf numFmtId="0" fontId="4" fillId="0" borderId="3" xfId="0" applyFont="1" applyBorder="1"/>
    <xf numFmtId="0" fontId="4" fillId="0" borderId="3" xfId="0" applyFont="1" applyFill="1" applyBorder="1"/>
  </cellXfs>
  <cellStyles count="6">
    <cellStyle name="Colore 1" xfId="5" builtinId="29"/>
    <cellStyle name="Migliaia" xfId="1" builtinId="3"/>
    <cellStyle name="Normale" xfId="0" builtinId="0"/>
    <cellStyle name="Titolo 1" xfId="3" builtinId="16"/>
    <cellStyle name="Titolo 4" xfId="4" builtinId="19"/>
    <cellStyle name="Valuta" xfId="2" builtinId="4"/>
  </cellStyles>
  <dxfs count="34"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8" formatCode="#,##0.00\ &quot;€&quot;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3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168" formatCode="#,##0.00\ &quot;€&quot;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eetMetadata" Target="metadata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Salario annuo</a:t>
            </a:r>
            <a:r>
              <a:rPr lang="it-IT" baseline="0"/>
              <a:t> in funzione dell'esperienza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Dataset!$H$1</c:f>
              <c:strCache>
                <c:ptCount val="1"/>
                <c:pt idx="0">
                  <c:v> Salario_annuo (€) 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Dataset!$G$2:$G$13</c:f>
              <c:numCache>
                <c:formatCode>General</c:formatCode>
                <c:ptCount val="12"/>
                <c:pt idx="0">
                  <c:v>2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6</c:v>
                </c:pt>
                <c:pt idx="5">
                  <c:v>1</c:v>
                </c:pt>
                <c:pt idx="6">
                  <c:v>7</c:v>
                </c:pt>
                <c:pt idx="7">
                  <c:v>4</c:v>
                </c:pt>
                <c:pt idx="8">
                  <c:v>2</c:v>
                </c:pt>
                <c:pt idx="9">
                  <c:v>5</c:v>
                </c:pt>
                <c:pt idx="10">
                  <c:v>3</c:v>
                </c:pt>
                <c:pt idx="11">
                  <c:v>2</c:v>
                </c:pt>
              </c:numCache>
            </c:numRef>
          </c:xVal>
          <c:yVal>
            <c:numRef>
              <c:f>Dataset!$H$2:$H$13</c:f>
              <c:numCache>
                <c:formatCode>_("€"* #,##0.00_);_("€"* \(#,##0.00\);_("€"* "-"??_);_(@_)</c:formatCode>
                <c:ptCount val="12"/>
                <c:pt idx="0">
                  <c:v>32000</c:v>
                </c:pt>
                <c:pt idx="1">
                  <c:v>48000</c:v>
                </c:pt>
                <c:pt idx="2">
                  <c:v>55000</c:v>
                </c:pt>
                <c:pt idx="3">
                  <c:v>35000</c:v>
                </c:pt>
                <c:pt idx="4">
                  <c:v>65000</c:v>
                </c:pt>
                <c:pt idx="5">
                  <c:v>28000</c:v>
                </c:pt>
                <c:pt idx="6">
                  <c:v>70000</c:v>
                </c:pt>
                <c:pt idx="7">
                  <c:v>52000</c:v>
                </c:pt>
                <c:pt idx="8">
                  <c:v>31000</c:v>
                </c:pt>
                <c:pt idx="9">
                  <c:v>60000</c:v>
                </c:pt>
                <c:pt idx="10">
                  <c:v>45000</c:v>
                </c:pt>
                <c:pt idx="11">
                  <c:v>33000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0C-4FF7-AC4B-D240A9309D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7630399"/>
        <c:axId val="927630879"/>
      </c:scatterChart>
      <c:valAx>
        <c:axId val="927630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27630879"/>
        <c:crosses val="autoZero"/>
        <c:crossBetween val="midCat"/>
      </c:valAx>
      <c:valAx>
        <c:axId val="92763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27630399"/>
        <c:crosses val="autoZero"/>
        <c:crossBetween val="midCat"/>
      </c:valAx>
      <c:spPr>
        <a:noFill/>
        <a:ln>
          <a:solidFill>
            <a:schemeClr val="bg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% Remoto e Non</a:t>
            </a:r>
            <a:r>
              <a:rPr lang="it-IT" baseline="0"/>
              <a:t> Remoto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875-4E9B-99DC-30ABF52E73A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875-4E9B-99DC-30ABF52E73A8}"/>
              </c:ext>
            </c:extLst>
          </c:dPt>
          <c:dLbls>
            <c:dLbl>
              <c:idx val="0"/>
              <c:layout>
                <c:manualLayout>
                  <c:x val="-0.16103794838145233"/>
                  <c:y val="-5.3511956838728489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875-4E9B-99DC-30ABF52E73A8}"/>
                </c:ext>
              </c:extLst>
            </c:dLbl>
            <c:dLbl>
              <c:idx val="1"/>
              <c:layout>
                <c:manualLayout>
                  <c:x val="0.1800246062992126"/>
                  <c:y val="6.800379119276757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75-4E9B-99DC-30ABF52E73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Dataset!$O$18:$O$19</c:f>
              <c:strCache>
                <c:ptCount val="2"/>
                <c:pt idx="0">
                  <c:v>Remoto</c:v>
                </c:pt>
                <c:pt idx="1">
                  <c:v>Non Remoto</c:v>
                </c:pt>
              </c:strCache>
            </c:strRef>
          </c:cat>
          <c:val>
            <c:numRef>
              <c:f>Dataset!$Q$18:$Q$19</c:f>
              <c:numCache>
                <c:formatCode>_(* #,##0.00_);_(* \(#,##0.00\);_(* "-"??_);_(@_)</c:formatCode>
                <c:ptCount val="2"/>
                <c:pt idx="0">
                  <c:v>0.58333333333333337</c:v>
                </c:pt>
                <c:pt idx="1">
                  <c:v>0.41666666666666669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75-4E9B-99DC-30ABF52E7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Salario medio per ruolo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Salario!$B$3:$B$6</c:f>
              <c:strCache>
                <c:ptCount val="4"/>
                <c:pt idx="0">
                  <c:v>Data Analyst</c:v>
                </c:pt>
                <c:pt idx="1">
                  <c:v>Data Scientist</c:v>
                </c:pt>
                <c:pt idx="2">
                  <c:v>Data Engineer</c:v>
                </c:pt>
                <c:pt idx="3">
                  <c:v>ML Engineer</c:v>
                </c:pt>
              </c:strCache>
            </c:strRef>
          </c:cat>
          <c:val>
            <c:numRef>
              <c:f>Salario!$C$3:$C$6</c:f>
              <c:numCache>
                <c:formatCode>General</c:formatCode>
                <c:ptCount val="4"/>
                <c:pt idx="0">
                  <c:v>31800</c:v>
                </c:pt>
                <c:pt idx="1">
                  <c:v>54333.333333333336</c:v>
                </c:pt>
                <c:pt idx="2">
                  <c:v>53500</c:v>
                </c:pt>
                <c:pt idx="3">
                  <c:v>62500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4-4083-88B8-C29FC6485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1357631"/>
        <c:axId val="971362431"/>
      </c:barChart>
      <c:catAx>
        <c:axId val="971357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71362431"/>
        <c:crosses val="autoZero"/>
        <c:auto val="1"/>
        <c:lblAlgn val="ctr"/>
        <c:lblOffset val="100"/>
        <c:noMultiLvlLbl val="0"/>
      </c:catAx>
      <c:valAx>
        <c:axId val="971362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71357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_xlchart.v5.2</cx:f>
      </cx:numDim>
    </cx:data>
  </cx:chartData>
  <cx:chart>
    <cx:title pos="t" align="ctr" overlay="0">
      <cx:tx>
        <cx:txData>
          <cx:v>Stipendi per paese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Stipendi per paese</a:t>
          </a:r>
        </a:p>
      </cx:txPr>
    </cx:title>
    <cx:plotArea>
      <cx:plotAreaRegion>
        <cx:series layoutId="regionMap" uniqueId="{DC1796A5-C02B-4A33-8EFF-594D71FC141B}">
          <cx:dataId val="0"/>
          <cx:layoutPr>
            <cx:geography cultureLanguage="it-IT" cultureRegion="IT" attribution="Con tecnologia Bing">
              <cx:geoCache provider="{E9337A44-BEBE-4D9F-B70C-5C5E7DAFC167}">
                <cx:binary>7HtJk922kvVfcXjdlDEQJPCiXy9A3rFmzfKGUZJKJEACBAFw/PWdJdl+Ulktd0c44i2+rxZXVeQl
AWQCeU6eTP3nh+UfH7qHe//TYjob/vFh+efPTYzuH7/8Ej40D+Y+PDPqg+9D/yk++9CbX/pPn9SH
h18++vtZ2foXgnD6y4fm3seH5ef/+k94W/3QX/Yf7qPq7d344NfnD2HsYvjBve/e+ulDP9r4+HgN
b/rnz6d436n7n396sFHF9eXqHv758zdf+fmnX56+6E+D/tTBvOL4EZ5N6TNGGGOIp+jzD/75p663
9W+3MXmGs8fr/MtdBLe/DH19b+Dxv57O58ncf/zoH0L46bd///XcN1P/12UV+uLLuov+cZanl5+X
9cu3dv2v/3xyARb65MpXpn9qlb+69dTyN929/fg3Wp6RZyRlWZqnRHz+4d9Ynj3LSCZSkYvfLE+/
tfzt/UNQP8n7ENTvN763G75v/m8efuKDb+49dcT15b/fEXt/bz/8rWcgA1unHAmSf+MC8ixlnOYZ
z784SIjfLf1l8/8vJvJ98//x4BPT/3H9qdn3z//9Zj88eHNv/067M/wMCSx4nqEvBv7W/Bg9oxwC
T85/Cz5PYs//ZkLft/+/nnzigH/deOqBcvfv98ALd1/bvzECpWBggTDK8G/7+9sIlAA0sJRmGcbf
D/5/PZ/vm//3554Y//fLT02/e/HvN/2ri9+P/veC7P8Nchl9JlLKKaHfNzsBsyMABsR+Mzv5fewv
YQeogO1/emVV7H+/8b1Jfd/23zz8xAHf3HvqhYP893vhG2j6uxjQ/8fhP9PUz3vnKYN9Soi+2S5/
mzf+Hz4c/zN3/YPBl/fxfveZ+n9FX39893dfPnn0RxnEF2eePv7zZ4wBE/5IKB5f8QP6/8cDD/ch
wrP82SN9hbwio2mesQzi2PzweAf4FmZZLvIUCcTyDAPw297HBvKRHDgBIygnOKUAPxlwrtCPj7co
e5ZyACyRoUxQykT6R6Z123dr3ds/DPHb3z/Z0dz2ysbwz59hCPflW4/TzBHOKMRYhlKYHyN5CuTC
fbh/DskcfBn/R8/MsEXBiWxUnC90ju4zMeOii4QeN6JD0TDcXH1lnO+MiTF9fO3XwxKS5yzFKSOU
EEwImPfrYUlqWp/iiKSrYtheuZlrezIJd3kpKi3GcpqCzi77anXuWmve5zfbXGEm2zS1w4W2CfNn
WpHO7+nkOd1VIcdLMaFNbae0mv3OgW0/4prgqtRt7bui943o97rLV/SOdz2iRyf84M4oKNOXjGpn
d/kwLWXbthW9cK0JSmpH3Ju6HtePyaTpUGwBqbJukRhklYfp7dTqZtrPqdpIQUQz+1u9Ivci07qt
yml2W3bGIotGstBV9NRtIn3LknGrDwnPmhWmtsyjloKnOd0FQWENVitM5NBmky4owwltpFjbWRdL
u6q1xJtX+UUzTZnvyph3vpXE+3Q+xcos5nkQqiJlX0/iYPA43ukG4xtS17wpEGDtO2PQTTIsTSiT
rZ6vnAp23/hsymRG5/ytsSakkvUh7W+rOe/Nvuv6JXkRKF3pLs507C7RViEieaYXfcANbt/N2GZv
FpRUO0t8lhbMGfeOO+5vkOXz+zGkKkjGWl6Vldpgof2shCtwvhLzHvXBzLt0YLDojjaNljwhmBcx
MQQfUZvAdU8bUY6JcUyqAbW53NZ6rouK0BdT1eZsT21HXVFlddzVLo27bZw7OsikFcN4q9Z1ml4E
w2HMKjPDO8T6psiGdbUFDTRtZb3k21kD0bhuQ0jSM++NepmnPVZ7XYfZ7tZQ6Q/IxIHLRQ1M7dqk
I9lhodH5Yti2FDm5Gtv6wzaRbmuKjW+0uvE6meaPnPoF07MQg7abTOsNufOKRtPvYxpGU4yD0uHW
oN69Q5OGX9skBd9P6ZCGfVQdUbWcctX3NzD0Oui9ryrb7pJcVP62DZi2twMdY3uoVrM4W5DFNvoQ
I4X9hZlB4W4ZfFI72a+9HedyJoTOt2gYrX5lHGm6SwbbHnZh1j5+W/YojBTJ3y7yDavpuAii27JB
At5cbUuet6VveRZo0bmab5vEc8WmrVTC1uOJtVWe/ZrWSb2Wa22ysHd51iRv/NCA1bZmgt1M1ebe
TWrK6C4ZZuPlOo+waksD3Kyd43fWWdXIcQpDeLeyJbVllam+hJPSs3LmeVx241oLW9gpheeT0Ud0
6PMFt6+mzsNRQW5ZdZGOfadf57Hx7e2cpc68BLHKhJ03CuJGDBw2pBZCqVJnOrxU6ZCo07BqvZbD
Snn+AfQJnZfZMgZ0sPlgH2JI1KfOY/E8kt6xd43lm9Rjj+OeYXxuW+z3Sb3x11SnrdjPLKQv60Hl
1/2I0dWwdsemNnJASi6IkKIZvC7JtKZS4/ygQn7SE4m/jvnqDzgb91vNXtG1nY6sBldFO0k6dHUR
pzG/FXXf3Q4MJcVouEIy29RyQVtcvZ42PvpdSxKV32XEvrTUfBr6ao6yVws7oC7i07hNVkirRrC+
otcNBOOuGEQ6v7AYAmGnSP+RmArLdkHZXdebY7sov89r9mbSQklrm7QcN/za8f7BgJ+v8iEOZZPi
Y7LM4bAOrjrldnxvo7mhiPEdiXNToip5kWih5RzytRSPjhHrIGPCh7NfRTkky6tZxYOLqNmHRjUF
V3N+NYUqwnaYDqOvZLIqvBMBK5mN/XVuLQRWznO3yLFW10I3r7mhO5VuW9HVJO7ynley1cq9xTWm
Rdu+tul6wQnNCoTr87jxQ4aa4RwzX/qsTU+rGPadry43wrlMU8ACOm4XdR+6vWGblmMl1B4NSysH
Gi9o7CCIjfo5INhc+h6ObJ2aM3EQRvXG9xCq2JstX1/SLuMyGouOTSBGVmTzpxTRUx27IFW/XVbV
9Kvbkr7wltVyGNIoSZb1ErczL4TwXtYjPYwqk5vgJe3Hsib0I+HilODuaBWh0gWzvqtaIBpF1YCX
mhkhOSG7dzi5JLp+SYXeA/Jv0otVy23xcZUVN0Narko3bTFvzbhHE+V3AxIJkzQOV2mdnevWiuux
YnfITXPRGNhMlRjfTFN+h3STyDGoyyjYceI2SNHW10RVELgXYYo61YfarXpHW7Ke1rW7ZUljShzI
LstSWp9F0rIBYBKAKmmtOiVOvNdTWGaZRqVtkU4Z2iSC+CjhbM13gi9YYog9OzZ3d9hviS7riAbp
Y4hTsfDV3s9xg9CUuNwkpVumbqc2VnVSD9Owc1k3HyZs2XG2mX61omo2MNWag6n9rJRMs/qtWLca
jsYWRpngUbmyIWN79tXiXtqY43sxmPpXkTiXFVnuRbvDq7uEyLHe+OBs2XeMv825xed0a+19UwWP
96ZZt3I0uo271YHNFl+Xdc7aY521lZFeU6d340D4y+DGRMtGz42T1ZYmuzCLflcBXlw1ddtBbKy3
ukTLFN4tTcRHj5r8V5eRYdf3nbprgT0CTLTTtM+WNbsZsbhHbOh2vE5SKgfVd+0B47rP3rNWRHwp
Ijwm+VjXSBogC0jmfHIHl02jnOOYFfWWNDcDrpdPYlCkFH3fDkW/JuoN424rWlLprBh839bliFlA
sq0GonZpRbOpDFnVNJKgbp0LcCN/g3QXr42q57GwpEF8b1GL7moTl7lMkIVFk7lKylqH5NpsTQaU
y/n8ME6WyjD55sYkOBwqMufvBZra44ZmdOZtmxcir+nOhxjLrm50V2SLWQEW9eJkp7oBQm82AMMQ
7C53LFi5jhsts5C0wxUmQhVdM+WD7Nvg9sy3w4thWLcjgatLwasen5BaSOlwaAH163r6gDlbDzRo
/HZwmHYQErtuK2y6NIO03dgc616nb8OYTbvWjJHs6ykRQZpBodf5LA6DYFoqM8RjlXpzQgYtWvoE
Yk4fKlawek6vsB7yc01M/4Iv+RvVeVSGMOFOoikc29HZawXabhFtdggQFw+sJi0pPU3wSx8qsgOI
tcVQWVdswzIfBJD2O9Wl6phCAD3GgeiTon23r4C4QzhUTDqAw4t8SPzBjlQA2emmU/SjlVS12d0E
XPtu9OMsbT1kF5GxTwtaupPrHoPwwKdqlN3o+502eS+k6Gt8pdsRnbMwbtcNUZ0pE6EV2tWVMR8G
HoLZ6TDZExeTvd4WsR97Xx3y1tu2aLYxwNGmsc2fx8QDw6ozXR1wssWS9zp5v3aheYt88JCwCNed
ckxFdcwnLMrFdVyKxHTF5rP+IuQGFYubmwfA1IAlj3E+5PPiz2sDSQXPMlHQeU6lWdl8B6FnVBJA
iB0a5FbgvY0fjxueusOUbCMvXFC+jDTXsg1qOVddm+w12eKrSGkyFa1O1qMOSF/EWse9ITN9JyDR
6R/SvspQQWImxosp2+JNG8T82kGFLd07k2VedmniJrnmVXzBp4FfUZ9joDPd9BwyStTILcnnA6om
SNL4UvcydCME6zXdeis7FJaXM8LTBAeaN58yg2BLa7OSX+scsyL4rG4LtApaDKl3835MOqyKaUbi
4GzNR5ktnJfTYNpioNP63s3E6b1om6kpfEaWm2xOOD23NVf+mEXWzXLRdZ9fhI3ddXFrmFxa0fuD
n3x+bjA1L2kq0qLpTDiPLV3O1nRahp7rXZfrD26IeCi3iKdL1oskKWCo4S5Z1vmsma2k8LTbERWt
bFFbJ7KrZ7zf0lC1BZ0gqPfJgHtJ1KrXYqymOt1NQHfqmwbcX8vZZbxYNaTpkpGmlTQdjDqQMSdl
BTvzSHN2H6Z+fa6y2LX7edaBlUDFYpFG113NlU1OESL15diMTTFO6nWVNeoCojq+4GZj15PyWHqI
mgfBB7KfRlZdpRDFb9hs8x3hKgEOUKtXbB5skQ9bs+tX0lxNkGKXQdP0Ax8394ZlKFwuvpvukgq1
B9vzV5p2wwmttL1kzNhXfhnCfnOL2kVUh0OS2v5YEeLrPcQgV7Z2HDppUOak42S+aiMBoF4F6ne9
UkD0N9jNYz5DcBqW59u0ZAdmERAN1Q+NL5uuCuMFg4Ry16zDVNIUYycVQP5hIcN0Qnai8RI1VbJ/
VDvO3GaxLeDIJMfBzP2eertITmF4GFQBQ3TC9aqgY89eZ4GnRWUh79Y1nNqRRQIgvoXHrBK3supg
wW3E9W21ZNnepIRcdYPNX9fVun3SIsm9jAhtNwb5G0gggygGmO1OdFNaoKnDk2yHpC2WmIziotLA
FZMs9uiCc6sBcHgK3nKq8Mpvz6PXrIwWmP2hm5P2Nsv7ScgkrVv4anQQwGomaipzipvz2M39Uvh8
2XZk0LGYq059HPpt3Zkxdfu1UanfzyZp4t4OGZ2KnpHHDQlp5sWcz3kiHaSWl0m0+WkNppJD1k2F
6+HIpwSl77N1ZC/Wed3OXQhZK9EYKjmpMV13aNWEyBoSDCUbz6d6p3vUlguh9Rtat8M71tVRWp/S
55iOw46tdXUiPFdn6xCFDRk683KcAxZFZpd0Lba2F58YhKKXCOUPpl4AdacaSHBDwkQL8LxgMoCE
8GatuVeSaEc/eBTzkkYAOKABHeSfS7NAfhpbd9FspD0Fr6Z94pvByLbj9W4YUF0kSqtZ1iH2exi5
KVqFTUliVcvUj7RM2BjeALiZU5g9vR63JR59MvSrRLBnSLHMtnshdN1edbRTL022ttfpugxycnED
6/OLHNxyrrRv9wNdF7yrsnYMkAB5IAoetfpjF7qwn7pR0Q/rSNv7ziQGHLvm76GlYDk75txBW9uf
kBeK7XLhNZahbdUKWFzPd9FXuZFdk5vlNE6YvdjymUxHR6J9EydwetFDHLucW5QoCdm0giQQyNRF
uw6o229dFKgcW9UeyNAMqlhjq+40gZxoV7Uk+7XDdTcWoNmYpiSbC7WWq47dMSfthvfQQ5G/nx2f
h8uWzVte8HVb6KkJjb3v7Drco8RsrxY0bq1c+kR4OEbAS8F6TeKv5tSudTG1rUkv2nad90bz5k2T
OSA/gKFoO3pgnJ+AnAXYqHlDepmoRF2RgOqxpAyO2EINfgfqFKplZHN9kStavRlM/hLwGwFyzKH/
OI85agpnxcBgZ63hvk0FOc+NhXS8+qxvsW6C3w1y9gPgwtSc5iTJ7zjFkyshWvpXqh01KFgN1U0x
gORy3Jph80VUbjonfBt2DUbzSxWTfKcM88AfBW7ejI53Z91hgwtfsfo+uh6EBZZUGDKlakpAa1hm
R7vTSLl9M2XEsH2zYVDXkpiDMtCuzVLvcB5ClCLSrikXxeFzgKAOMkWTgooVDVa/LmkHAOPHHpSI
RljQorhpyFIQz7A7V0FEV/Rz4z/A00D62QRUA7edexebpLqwwVUzpA66de0Ocjd4iWMAUWVSD2ja
dy5PgdmvodulwaSvOA5bAcgEX4MzSWHzimmDM0SNNo+IBdf1Z92JPWonRBl64rw+17WtVyl0RrqT
qhgynWxnD2gts8qMyBUGdIft2AWytKoAadD1N6bWYAyC9YZW2WzZZi46Mc05kW6dQXaiuUu2fW76
NpH9Yupwm20C5JlVLO6dTRnYylEBr5h5BZ9YG2IuQLNG/StKbCAc0l/avfJ4Bff76Hg8xmYEFEp0
t8IEl3mg7VVgggzvjc1BgjEVKKy/STmgX4GRSNQgBY3Gq+6y0YlipR3yqt8JQ2d9RHOCliJjo17u
lmpw7xJG4QWEaTDTF22HOuDLF0nSsLCfAwIfZK6GxWV0ge+Ifh7aXWA1zg4r2waQvGYvwFBj62FJ
MVB4fwQ/gfLqnO1vEozA/yC0YXMx+MGEd12O4Urtqq1/hcjYLXcQLmt9CEik7VWSetiUDaTr7ZVZ
l1SzYuV6bK8xhB5zOY3t+AaIf4ivbbZU/hUOaHP7uc/7R0Crq3gYUZoPhecO3mbCBhP1c8+6a/F5
qZyLMTuBDJgMhTVxLQDSg73WPkBEmWAOywVfml6ArkVBtuMZrdJiTpwddyrrYYlLl8L0CRnnBQiS
rw9qZD1gRmouk2yN0vslfa0WTiBL5fpoGN63Nt/My7Sa5kz+ByKNBbktZbKPFculRWu1Adjp4G7S
2eL+xPvA3v24eJB9WzkgiAtoUkk5HHSSwTlMv60c6LkmAikKu5bQ4cYuVGHQU6ZskQLlXu0pHk0s
fjwm+dOg8KwgJGMYiCBB2ZNyBZBpqM0AeZJZnrh3oN5NqKhgNzx4SO9KMm7snK5hGCSfEltD3mOT
ZL+C1CLj3A533Wy0K8SE2E4TO0q7ILNf6cB+HWYe55I1M6TGw+YA7NdIrYXEJfJXaZZML/IBN3uB
B3yOfYJ9KTLtzZci9Zc2se8UZB6n/1U1BkyJBKdZyqHFhFCoBX1r0y0hDgN8rBJyYAV7u/enummH
MlC23Po5na9oPttC9/XwpUPtfxz5z4bFlCJKOcgJ9LEU9e3IAxy1Sdl1k5MmQCzbLjuBatw8NMxB
AiGgAqX/wpcYGsaeLBZIKxc5tBVkFKOUfTuktyqMkwEZyZuuut7SyYLslIjzojfm5FAJfmnaIb9J
2OTOlnshQb8PdYFGHpJ9EvsZy6ahZPyLiT2O+60TOAY5GWp+UC3kJH9iCjt40g4A6LKryHLLjVlu
deOBLnqkgRv8eEc/evTpYCm0FBHKofgG5+lbI4i1yvo+4FFOwkBy1XSOjoVY6vT043GeLgqTHOps
OQaRFBEBZv92nHXatIYz1cPhDKC2I9CKup3vm2ksQMoAbPjxcE83MgxHYB8RChVSqAOIx2rnV9VM
u2JlIR710n0GHrUoqD2sK4hAB161EPS7sD6KUAAMoCxvwLHKH08Ap3+aAuwpKOpCTyOUVLMv97+a
gpqJWlqoC0ng98P4pgndlux0msYMKpBJfQOcI512SagdVAua0L6rtq5PQOMZRhD0co9AHEQ1KCYR
iorXoW76SlY2524XSZvVknKtdFFFmvZFulQTiGwR4kcx1LOCHGMj23Ghes4hIW7WHgRgm3dyRT1B
R1e7pCnZGCH2fynLsCkC0EIh4ZGDphRKTAS0aQ8lgdTrwiRL+JXXa6ouLBBZcg2ViMyVSZet69F3
EcXbbl7AiSIsuH8FuQUAKlRuoDo46AVAN04IXswtAsuHsbJmvyD1CL1zBZ/9lPTtru0rdjHkNL+r
xQpXB5YzJv1M81GmEPHwYYYOIUBi3QAbIJOByUMNXR0ijeBKiGv1fe0WV+2VxvxsfAAhOI35eKl5
Kz4h2gCAg40VcIAKygznMWZV9caKqgNm0jTN683H7S5P1ghgSlKYAusqqEoR0N+7S+UdAHqXT0BC
Ik+W7diwdR0fWJcCi+5FMyYvFk2reFr7CeA+jEyAOOGoxmW/cWX2PeXwHqpASdqRbbCrTAVQqmL1
DbColnIwFOg06pAsGmxZQTVnO1ahTuIpmgUA2qxeQT3vMx9hQyvUeenTZNkrGkFKDXZZ0DHiGZmL
JZ9NJqMaQL4exeqG3fT5DaNKYZARCjS67MM85HKplRJHqO19NkIOi86hDO5h0/Qw2Q04vi5mMzXh
Ni7CvQubjlC8cUsFSvMs9oqJ/A2hHnaNRlDnWJN5uK5itGZXubaCqn7C76t2uQraQm0hs3q9xlkK
CWQX9Jqcv7C0ZdZTD46dUpkMkylTUDY/4b4ld2vd4lTWPE9ZWRm7dWdIm+xfwd6T3geCMwgVQKEE
hF0G/X3QmPF1tBBZ2zqKLZEqKOD0NdQU72CNEKd4WiWowENzrfkILvhxkHgafHEGzc4U5TA+ATrx
lE2QGfLDis9Q7+4ExPc6AWm57CG7vf3xOE/BFQsGTSIcPikMyfMn0RBKUQ30+oIQYlOuLygGmg+H
97Hq21n/bqrVhP8i/D2G869hBXoZQELDMDDPMYIej28tCkpuOkXde5nSJH/dCGweNKJ+ODZaMCOJ
zSFV7jbos7+oNty/jXAMP/140X9CHAGtNlkqUAr9M9Ao8KShZYZTtJgWCrJbo8TNslazK+uFPojV
w6H+8Vh/2kAwFgMbc4ahQQPnj1Tjq1jfjLVNfZpvctn69j1jlRpk2nRwQUy9k7nny8cvHQ//93Gz
DChCCr2TnHymOF+Nu4mVJNZkUA6b+XLbr5AcgYCX32GCodWEsvWjqVfYWT8eFQ7kE/cSRFLoUmI8
pUAZU/rUvU1vs1DhGShJ7G4QCuG8psj3sl0763Yk7bOPKm+XT0z1+CNL4tQVRPNwHxqq4i7h6/CR
9NqTHbSQsIsWCntr6SrR3eVmoq+czc2lWEB0lAo6IF4LqBHfG0VQLPuKc8h+QXQDBJxW0BeVcnNJ
6mmC/yjCHztplFjODA5DX5JZrPeUTWEoEp0M+hKCJlR+hqx/P8cqGQ4bJssJWiYsv11wDiiyKl+r
t73gJsaiSQcuqMyS3NBD/jntHQGvk8JBfctAvcXk1SmCVDU+CBIhOoSKb+4891uaQ5XLTskR+mAg
mDapjqP0Y6J6qCA/pu/CO7huP2s+CQW6f2UgBee36bTCG+rOKXuNYl89b/MaQ3V1myMy5zGrNN8F
Hh009YzGQCpKgoF32qYngGdiu60D3aDbg6fQQ7I5GKmDst/VMHnD92pLIb7YWSc3Acr2L5bP+kxT
+012UEr9qKN9FL6UQDeBmQgLge4ZkIJXwG6h+XJgbZcOBbXQboPt9KnrKLPQLDLVgMcrR6EIOcSh
y8A0CMmsTWPpvBvTY+/sCsJjwqo3qrE2369mFMdlq+nb4NT8mnEA/JInGXPnpKfswvo6rYu10fy/
qTuzJddtbNv+Sv0AHWADgHg5D2CnNqXsmxeGsgNbsG+//kx5l6vsXVWuW/fGjTgnwvbOzJ0SJZEE
1ppzzOU00MLtoja7Xto9ILkNXGSXeWkVY2daMqd3PHeexnbf5SuYsXqi+x9LNYVo1+LGiI388EOr
yZxUd691Ml1PlXCxVdcqRZn04/dh0LhqT1LK3UPat65z4FASX2Za2T532Vxv+mUVzM+Lzng1YJs8
OKBfIOo4JF7fQKvke20aVQlh0mggZqP6jOgiaDgtYurDQsxx6ZF1GOJjpqELh23Zd00AOKMsj+nU
LaNXzMwxfQruxvBAA+Ji/kGlrO2Cl6x1r+qIlS6E5GLBjgZVuk6IbHGPlDDGric3a1N79WrWVmJf
LfMc/fmd/4/3PUVVayKD4JjA4H/u0jQwOdHPWSOVgPghoSPmxm3V16t+//VAfyU6zz+2ih944kdV
o25RyV+zYH/79r8eqhL//Jpg+vsPr1Gyv393/C2D9vNvXQ/0t1/Dcf564Cuw+Ydv/oEd/Rd06I+0
2r/4y/9DdFSwP4dHj5ePr88KiZK/fH4Vf7mp2s/fcPZfQdIfD/+Bklr2L8R2sLMhLAI9Qlyp0B8o
qUUQ0rGRYCDEtrD7CrQlv6Gk1i82t68NL7WwLaI3+htKiuSDix9yVOTcxnJO/yOSVPzcWV8TXBBm
UJU5BEzKNUb0++2QLKyxkn4uPAN2irshS2IessX6SuubRC0v1y42yTqYENR9M7v6JUmMLWMTu6yG
sUQ6aT+pKms5usMZQCzqhY7RamOXXC4UyM8gXm3USmGZm+jmzFtz6SBVN2fq8Bcoag5coT75prrJ
oVw12zxpZUrrkMzdTVV82/Ysy7ro4qAgIr3ve16d1mRHYF8seXmfJxRufplRma2lhypYCmfJ76oG
Tlhn+blbRhXLTmrufcievTTnygoX11iPV6PrmJZaFNIZYT8TsC+9fiyq9qkp12Of50dzSlS0Lkym
GuYw016Z8kUOlbaDhXfwc6qKnShNrCNXS0R0vi3F6JV9vB3a4rFXcN87x8KW53zYPT7AuIXZqKDh
nrqq+RJCcQl50Bvj1jPMvj6g8TzAdf9MUvOzcY1NTQt4E6R85iMJwImZD02z2uGg3FpO2rm3TUPL
YTDAMLZGWMwTSD0bLeL60OT1l50Y4wF140Ne8de15Dtaziq0M+sTG5mH9h7q+WLc6jTeV1qMEjbp
InVdoO0qC3GjUtvx+1hn4VCn/lR/xVd0of6uSBumPe++StMgfhMns1y75rjiwWZRJg/QqxhU744E
fKCW7NvGp7OlP7G855JNGb9LrOIhae8KCz+Ii7i6dj7zPQRL7hWie+CWfemLETZ6FsIimWQGjtQv
zX4NwR2Unl2ttcQeVMP7aG+61upP3Fkdf1z6MUrLEZaSiXa3qxXzrEFtkrZgQZLlgV318GMao5Eg
i4SXksKM5slYJLRQSzLBm8AihisNDSMenKUNuTt5W1Jc0UACCllPHPSTCmY1unvDNdygbzRkfuYE
prVaEr1Dj7ugdPyyypRX1eV7mlTbyVxBetTtJk7dG76sp8E1HGlaIzg7ijZiiDdTpgDEzdzLIHx4
bZlUcqjhKFrVe8W1i754rGW7ateDLRPjbY0xe7Xc7pUnRpVKLlSWSUu1QxTPtwkqyqzrnoHSAlRD
P2bDG15iO8Jl7reksTyHZw+oURfcH0Xznk2A0ni1Ml9Rw3mFCZPhWyeYG+PezOwRVosxzBbAsH70
a9gXnmGUZ1qdiiR+rYC/xaKGoxxm6/MAdEUkSSDicmtmg+V3Bk9uaLLedoWzbGLXjE9Zu0EjoD0x
rNtFpwER0EXbsvoyWqegEucj4F3t2bYA8UA8gjvXpEYp0/SVopv3DAWzESel9RjJnQCaug+3vPEy
Z142jC/1hlI+ne2S8qiaa+WXXVNE9mjeF5oFgyByTpKNnhkJSMu/ndU+CqtSN3m2XugSc+CUVHhx
dePmCjBJgadmqvWdSYVzJnbxeEhB7m1IRjQYmdK8G9bGAENh1FJXTn7o8gnaH8UtJmbh58reVg46
5XEaPpqikINj5GHd0oiJpgJAhfNTleCmtVV/gCywfXeAuVWQr7FNd0OSnBO8jE2+VBVIqIvoEw1D
rfCUNZITQlq+Yxr7GDpSn5ZSiAEMeItbRuke16wZGWJ+gwZdSNda5wQiVL9p6gbXisUGmRV27jnd
9Oxm6yGbYAMPKwFVtfIdnJkXe04ishrKW7PlboT1Fojc2EATMEGwKGhLlQVzAqAfGB7qgZ85uEUv
O9oAAxN8fQMDvgNg87aUUDgI6M621FnAKbBxGLmvZsp92s8HVQC3WZz5QwBfy50qVAJwj7MejQSg
IYXZ5rUV3ai+O6fDBJyzw0JfD+MDCBo5Ndfy6U3VppZJ3dAjZyj9jZc54baXQPUBkyoT0l3cxo36
ZnwAZSzdZX42KjEGpJlfl2E8Zmnjuwsc1VQBZUkMcVR8Gm4KRxswM3t/TbNZzqPWft9MaUC11h/V
aBoynkaF23W6pKsC7SqgR3Xd4nNzDPCpf5ugLvZxowH2c+ujm2d0J+ppUkt2tEk+v6VNXoYsY88a
Dgb8uvjMxgeDKmc3WHB842ZJd3HNwM0XTX92p+TeKRMWklQofxFKb2fBcRYTsN+GEoF2sBUy1pzg
1OPZ3gvaD36mylcuYMBz/qp1PUZOOrAQ+GXfk1F4FqRUg6Q3qVmfTaPbpxX7VnWzIHUwmhJ07i7N
cD2LRqR+DsXH4/X4UacLiH7Ulp5BkkfFezNqGPtYur4NBV2ce0Lm5lY52FEHCLq1NHtXbfMeoKod
18Zj0addMKD8Dqq6pn5GeRoABFWecJL6yTSd/gg+aDiDjx7lCsDuhgGLvZvhJt6oMqXbCjbZLXSf
5Du2egh8bNFnUCU62ScG6Bohev6SmHNSgjJenYPZdeuV30yea4vyrWgAPYL+t99FF8eHAtsISorc
8LplxtWK4AZI0gIfmB6elauqS9sgXNAATAsagN27LplJMNM8v3PHqveVJv3sEV2Um87Kirt8ja2T
axjprhhdH8bR4tGipZsh7etQpKStpZ1U3bdwKwF34srIQuS+MCeb/cbqYEmVZXfqy9bar/ZyMUTc
f+agcrHGlM2DGLrBx0KBZRfoW8aWyW90Nt0SBTYJYmL8McwT7DxQOyZweBAgGcxQ9HdWp48ESCow
87YLHNqQE1mLZIfewMC63rb9mZZpcyQdQ5ilKEI6XKg7e7ES2JxgVBZBUwHetJLhNGcuzYO2YU3q
07Ztb6dZGLsOiIecB4tG5ppMo8yYMwHprq+BjrjzxJqqnYFOUUg0/dAss3iG65/SKhiKlL30s5pP
sK8uvRCjXyz99D5ReJioHauoVwsdUYfBQvYLptkdy+p1B5WsuUsHlHTw6+hr3sCcAMdkgY5IjTWC
CJ/ueUKYp6ubmOf72IVFHvsMe5joLqM5k2joy49iIZ6xMH/K2R70vic0LHndj/1jWsw3AF996k5v
WVnsjcXGRl1MW6udstMwlNTnvXJQktVYlOivHyzg6pKAby0sv2/JoUr4jEXF2tX9pGFVo72FnMvn
vrrlVTXs62INnKK7G+weRBw1A7fDdVtglwDNPUVTVnwyyMneMPPicYnHpy5eB8/ObZiUa1IGQ5ls
YD2qsLo2kcrUYVNbkBpEdaxKdwMH77HJ80Ggtmru52kK8pHdimQPw6ODnmNoDzk22WlNbpwuYbIU
dVhCnmqa3iPtEbou6tAp9psUN3JqFJXX2Ub1SCG0qgpcI7DwIR1kTXhYQwiJYiO9mxTSSBNTc6jA
9pZp/LSufeXzujdktrByx+eByXGoxO2shjJgVhw5OQlcmjzZrG0O4DrBwycmSMNBLy9oKl6wSe8z
Vs8+HN2N5X43jIoToBu1nasOlz5+92Jol8lZY5dAh+6384JMQP+hGnPdDeJhztWhmoywtBn4s7mb
Nr1BQMXSIBlmUuGdl3K1r0Do8yx04qWoBYtO+Ojrzta8ap+gpSmr5gQReMd7PiFrE6dfYnIEaqDs
CBISm0v/ZCaNcbDd/KgBfATDFNcAjI60e7Q7UOoiHY+kzw/gPXf2OmhvvdLbVpHfC6D1nuihmaPL
4JX2tSl2hblgfyT9Yo5fBahdc5rnt7xt0ghGxt4sDIlqrAbPgcsIkpIO2jbJwxwegJyp3jkjam/s
XYZissFNDH4eeYWunbEx4CmMGUxHy0xPa3bTFTi8s5661S0l13iZog8VddLnPM3sQ4sMU/1Dm/yP
hINT/aXv+/brqz9e6p+Vgd8LA//1v0o/oGjl/3X09NymmAJSX/rqL5/pX46Vvnz8LQ7/q35wffgP
9YD/ArkYMzy4S+FLEtiuv6kH+JsrAiCgcbkU3oQJXeE39cD+hUPdxqNMYcEsvurpV9jhmlHFX0E8
QBSVO3B5wRP+J/IBbIKf1GXiWtR2rGskFOKyZZE/ygdYX1E2j8soG+sW0i0yBPtb6kMuCBMv88fN
ceGwRtEo3bse2U2B9ssojRAMXcIVQdVpkfsnNVrAnbzIjvpgRKrpZW7lbghRAGbh9LJs6G4MoHCq
DWU7MvizK7ubpy4Ai78pNzxww7U9LC0aOwBJbGOVT2TZoFOsewkW31u1LI8jvatTOeKFLd4cjr5r
BnMYo1R+o/7g3Q54FbeDFwfCL6Jki44xQsUjq31ya08eWw7DHvLsIJ8GmRzIjXVbbNGc7KgcQyzt
BxZZUe3T173hF3gSwyfPzqbdAX1+T8M4GDZPk2fc29KW1yPE0uEn5CHtQxzaaZBySe7GV+s4eIO8
jb0uME8ASql82t0+PQl53F+/Wbz2UGy74M3xKslle2gPlVx2OXoKuS9lKV/Chwcl32cfSoI/BOUd
ljSZPzUgyriG2Cv3JLJgKnM/XRFJksNTEurU53huLt9S+YDPSmbb3u/xs9nnH0BrJfO4K9/bV3RZ
d9DzpT6UUt0sIvPSR9PSAK+9NMp6JLzU5HONHuO2+VgjsoUAu3cyP0d/Y4cmDoLHHehtelZeHXWb
QZqnfh1BmgbYxKxTivcOwLzbMfeEPrt9WcPCd/30oLa4Dp7mYJHUB325Q8tt16FZ+J3Puaenc+MX
xRnOqdF5+W397kxe5cjhqz6Z6G6+aNjcDtEQIXT7AVUAksNepzhtNt2+zRoECexCf8G5HqFjfI1H
imIlsmXWRbkUzxrFyyjJo413gw/uOCK8GrRv2HMKP0+2s6yS7Vkn29d23ibfw4w4oWQIBIYq6Pdk
a/tYNl+Xt6mTaKBRlcBzEXDVnAykoN8r35yihvj8ALVkHJ9XhUrxRtxmErmnyH2uj8nBOtr37WGK
hkfGz8a7eK9W4hMXyL+QxLPxBdnlN4lvnCp8nxlH7PDEQ5VRQT+gEN0kcT183cKQniWro+nAtxoV
CfXMJHCEv8DeNo92t8WODCFg+NbYjVppCjnRsH4YLoj20kN/6vAcEDOW3TD4FUoOP94l52ybHeiA
B8W3eEr/HUCQPJ8PO7z+xiP3jW9gCahm2QPDfDHAdzxcY5C2lzZe983e2LHcJ5HYxm5YwPQJkEsI
DVxgIJhTI6AfHR7t+mbkJwFPvBJdeahuq1X2I5Qk3xjk/IKrrkEz8mwiUuvRVx9yTnxPPrJQwj+V
CB1unCMI6dFHkIB+4I0JieR0OITnZWMJ6al8T3BeLODNWBzUjX2KH40w9693MLEfl+ck95GI6t7x
umIws179QrFucG98iW+zs9rPn8wNmi/jfYCahSa9kZ0dNvOGRlo9NwpWy4Nl++ZmOerQ8cIlWIIR
3sh29U+IKe3fDdkdcduk++wzv2E7+Cbson1kN79ijY+ETJ77WryXhmw31utZHcXFBg0vdXa27uxz
Kh7tbDtar+uy7T3z1j5ar+6hbnuJYMk0yA+yNdejewpWj0fuCwKYRyCMniPrd+u8te8i7pk3ybd9
455HD7Lmvb27abbZpgrNRhJ1x/MtUFfnyWnxhtqbupPJJvexLAeXS7LJUCtvibxPNtV5h4yg9xzU
MpE3ix/QWysJPizf8pXXfVoHfCWJ77zoy6uNxbyCQSKXsA8GfwqTy+Br6eInpjcHc1BswCUH0+HG
Ck3vRsv2qUt857Tu8BZkCoV1Wx0Gvw/cEyBw/EqNx0J/9pjPof/idxAPYLK4obvJxwvCP88HzEaQ
RbWB0yvsraO9/Mhec4wc2PXf4FbwZfH9yqNfX8VN/7SYXrcvIriPTzxA9KIaZTnK7tAckLixcJEn
hRy/M2vX+bpAuyhXbwlRYQ34ow/KLb48iAiaoU2xVfU75HviE5JThUSvPCzh4OMxTNKooKFR+KuL
4KNHydH5UKSVNZLxgTrT6NU4mngPwvHhdSqZRLgqfR6ZQeVf7MtjJrPdvbf5NrYaNOOe7d3w8QZZ
dZp6sSvphXr5FoD5jh/Nm3zylnOKj2gIG7/x7ej6L7xdROk84w17LF4+j0pgsQ/6kpdeB+36gBfl
viCUdDMdiNSIrk4yOYrmbYk943N00Pv4QJtS5xQHt8KnE7avIlrS06g2To19jr4WeMlQxlBVd25Y
Gxt73AgfAyQ8p9oxEDf/X3yo6Ku6ziLqfi42/wfaUJZj/VkZ+U+G2Fyrx18f9aN6NH/hTLhUCEzB
AtUsTIAXP7wnw/0FvAUgUsFhQDFEjVHZ/bV8ZHCYANag5ITOeh1kgprzt/JR4K9sjomLMIfFf2g+
YdDkH6pH6jDXgUuKQSYwzH494B+rxzXvAfgPJjoPiy9NIlnVchcmbNGNMCMMYURLXog9ELyu8vM2
MZ9M5C9D16idbUFint6sk3K/47wyv4FRV1hAmdouxcLDueTpg6umOpi7qmjvESqeI66b+gyVn+3Z
YmE5mpo2qgRIbUn7Oo4RAlrIWzr36RszM556U22wZ8TEdey7jraItOYZCaumyMHdNqk72hESdc79
lGeDOOVCV5nfA7vScuXzHPvKHutxKzBNARHiPHNfLMj/iBj31thC91jWIQTuL75qxArRkCqqEBWO
DccOxELMOWpzknFv6cCDeq15HWqhR0i4oWrKmYIid0b3DhNMkDmNU3OesaKVKIvSsSvzHeEGbsd8
gKo5lfYc6XJyxWPs0LTzWdGoTS/YgkOIuXxNqrU4TY0LLWCZXGPcaLfoPKTol9ivMdojhQu3jMeS
ujEQs1UVuVeUxYwlw3biILaA5KEYU/yQVQ2vPPjRvPDAOTIrpKPT5Z6AA/DZrwSWR1GzhUb1WPH2
nGA8DCC8jICndjTCPNj5l+K+mgQ7WaC60mDWVX60FgMpGZoUsxlajYAuyFJHv442Tetde+UIvGVF
/gbyq/0Omoa5t4WYljbskwwvmCIxEjgrsSxMkiHQYfo8qU98dfTwsFZzhUCPqHUTCBhD3bbHBIN3
Yg7w9MBhppIumbI93WZ82rdZ674mjuK5l8UKOc61W9TmCks/rmaLuiYrq/4WI2Ts1h8qlj5Ai4Tr
x0H+fEwQUj7HhDUv1TJhsedFummo4vvByLHBD2rk3J8ELCRo1mzdiqI2HnLRlXdiHhvslAs0c7tM
mr0zKEDqacGt+7oo2xB57QWS7lIhkNxNKn+qzLY5txXGFkCamLqNm40uqhiFaIbU6xhfoPXNH1Vj
dJhO4HZrNFQViaXN23L0s1mwJhgy3iDcU5qx5xpI5Zdrlm9YZthPjTkI6hfIVH8hxtM5Xp1xhj2x
KleUnhO/qIRaiMSYcXWbtrSOWtjZTWAmnJ8aiGsIiyHLhBo4Fch+ApvlKkCqFKNhBjvOLq5hWkME
sVeH7TRPR2ZS+5yzQU+YyYEIm2yBCx9dpFAmkBXdAN6GqJpuGTIWRwPjdkiocdsioGdCNYUUYtb/
hvn+CaxwkMgW6HaxaNqEYTbUTwBZaeY9ARlsyqL1K0I2rFWb3y3jfwUqfj/f6Z8ewWbAoS0AyTaG
Rf3Bk++6vGmHHEdoQLuufENU9v94hCuQ9zsYTdTDZJc1jlA2sELJhvfd/80RgBRw3FYA4+lPXIG5
qg6XC5yNAR4DdTYNrL8//5R+1Rb+Di4CoaMOQV4GSgc2KUgQP2kPqsbsDztDF1/0lTMfk6Em9ytG
Bj2nyjHMPQEBg1BGr3rPyl191E4aA4flxdGkisL0QTaSoVgfyue5MR3udYos6wvCDaTcNLNuzSim
KZkPxCAZpl4UOSKOf/4W/gh74h3g6jEFwvmg7B3QHtf98XenoanyGTI6NxGaMA+k/3RFvnMqgllL
zr850h8Jyx9HgkJDERTh2LzJTyfccMwuIYVhSmupH2K3zfYjX291Uq7+n7+lf34gW2AAyFUUAp7y
h7e0wmctU52gpRqYX6YtYvnVUyqmlz8/zD9+chyjn8UV4MS5/4ebcGZF5S4mov2EFb49ksortPs6
a7YxpvzfHOt6qf7hOmNAcUxoZfgPHGX7pxsecGTvELgPCFTNWyARTVbJGS6S1e0THv75+zL/WBJd
TxSEOZMgh2dz/Gle3/jvLomc6Q5IdeLIucScJvZEbAwa2Qu0z4174eNdq3ZuebAxAOPfHFj8mhj6
6X1iXDBm2jnIUBP689U4OYiT1brFlBGLDg/wMTMml1YU3KswX+SkJ2CemBxS8E+rMIqd6vV6Z09j
hXlMM9w9p03SaoONPj1llcMsL2c1hHRkIQBrIvNnvNRTiQkMtCalZ2FL3GfmUD8uwsLVQoesf4gx
HwjRik68IYiaYYIDxttgoMhVaPdNVgzwkkrgu0Fqs2nxHVW3UBgEsQ+wg/pt5aK6kw2bxveixnwY
jDyypkdWA1D3Wnh3QUE7944O5dTdqZ6jDVSNs867ksTE3qt6Iu9IkafnAn4VBtDYMRq6iRnrjtQc
joaNaPydPagv7A/AXWaiB4EhZKJGbHIBVue7zDLvp46l1n5wa4vtEM3BGJJ1gnIywx4KMTmm+0wX
Ba8NEOgWZprelFwhSIrYagPMakkqkCuj1UbjwOyj7UzdiD1Y1MRLuFsRJNUqA1wO45yAjjHr9wye
TCpXjCFA4Qkkaj7Va9MBz7Wa8li2y3iJ3aHaN6qx/aRpyK2ADXE2W6uCK+2wg7vGGN0zopzyVDlk
2TVGjDyJqMYyHMeeDPdqLjhG6jVNB0om7yrEA8DVTnvFOvgKnhl3M/OQh8yHqIM7SGWZc774dlZN
92CD4Yx3qZu/ilXsMqx3GwqnO0zc1r5FYSjuJ401PDJVHAIf4nBEDaTK0IE8GcyMD0YrYESV8aAO
dZrraYeTaYVdA1NtduNxN1RApiVp1YyEep3pByRbrqPJcjaH2sLycRhEPmLChJVwyFhqKqLVZcZT
ba1gasQwdMHIsgGa6sLa5IzigXtNlzXu1ZiHcoqhY+1x6Mc16AwEgmVvt+nWquOkuht6zAwM53jB
JJASH+VJJG6zRVoFm4fWmAzwkOPasaMJT4c2OTHLHLVK0VBXPCAlVASDpdZ9i9Ev/tzVE1TursK1
LDG+yw3VUmEOAyrEKex6wqF7TiPiULQZp8ICqQDm+zTlqss+RiSrwDzNcW9sFiqK6Z4Rml06pMur
vT3HfFvoVYNWE1XBvKUU9IHlusXIJ1t3Vz9qgYvZsDZ7w0jJrO59Z+gEpiBiV48c9GTXDE9/ZYnM
lkNpaAmDAIj68lnnonXC1Oom2Po2pig4i7hPMCIyBAMwItNPrP5iFU4SOsYwbYxlas8z5mOifHbq
b8ucnA3gNgsBIMOFlNQOoDTIFFCVdri55sIdfdMpROunaQPnC+Msxk0Hdu8RU/2QuNQTZqPAWRuS
z2oQ7h0mcKWGZ0x6fW5t+2rgw1q9iCSzKo/GGKPFp5HuOqvGbKgZq244YjDZCzK27mVZGgAkMCXt
CMMn+vM4ZHgdBuw7SKFNuUtZaxoXDhzejHQHaXJQhsh97cTQgWtrVkaAoCQonASL3Bjla9EdnHV5
rnSdXEpwLwdTZ+sH6K7YjaayxDgo9N6gLMBzkCmaDQsx+raO08cr0W6DCjTaiCJa3fqIJDuApApS
fk994/qIvkzibkQfzyKCiTl0TwY9W6eEp50ZmDbYDD+niEYdYNwRJLowzI94JZ2hOwN0WDFrLtbz
LTrMqTm2ZlYMT+UAf1f7SLcAdvcR4Xd8otMWbgeW6DDOEsS4MDlpfsDr1r5judOFZPOIsPwVoxtK
B0uHZhPIlH5ESmhvZ1w7m8RAMQawKxsj3UDntuLJbCLOs+qTVU4BhzOz2l2JEYeQjRZjDXghUnBS
oKnvEsJLFRKh08c1LumjHmYaLJmud6I2E+VXmHXlN26/PLm1zVYAHik5Gpi0MDw0mCFxRS61PvdG
lkSDbWMgw2BiEscg6sQKWb7CJSJV4tqPhdunnp5VvS9a1fJN1TsuqAlEJTCCr7ry4zJdlxpz9UC0
Y84HUnBVyBHWc84cQyDLlz5upiZ0UmtIbzH3tQwIkvu7AT2g+YYBUqb23ZQ2zhmhd8QZTAyIQQe2
Ohuzmax4Y00q8WF9qRvTAdKg68FyvJVhXJEHUm6MMVyqN7DZNcvM1IW1OK833BkWQJ/FghEgGWb4
qQ0y+Yv11OdgaaKWTfOet9Dfqq4W6riMpq2ubXi7Rfakui/rEZEKPWE85V7RgcIGI5U4YyiPJYLZ
AquzW/C/GFFABAVGzJk93HmM5Wm7BrzJdeyTpxZWhFlXQKZEhmnN9wZdi1xm0C/uRoG7ZTPmzGIb
7A2QjCG8lDetqLooJZg+WCK/WYILWeYpjM2x36yTWT4rY1pfViwAPFRg/sMOgZPMx2o7bpuCmbhL
GO0SmVuJGUEeHc79mo78UNbJDP5gXBTy7d0M96/CWKQ7p181PlnMyqo73H2qT1uCYQ1xem/nHUFL
ENsBy6w4wBSoEiQhqoqIl9mSShOTURGtbSlDy58ghyI5wk5RsmI4I9JP3N62ZDTNQy7Y1HfSrGJ9
51QOr4N8GMl9mVBDY4gXzrvsMJuE31B7UXeY4Im1ByNlncc1Se6wTJsZJnKOQ7NpYozvfMnz/ybt
vHYjV5Zt+0OXQDLpX1leVTIl290vhNrRu6Tn19/BPhc4rVJDwsJ92XsvYG1lkUwTGTHniNAbbnIN
4a3TFPVNXWkmnoawEaSJVKa6Yym5RW2lnZAkaAFCTlx41cRhKpA75FWirYIpGa96fNgrykM5yNk2
y79R3IeVJ3t3IKeD4SHbFEZcka5OR3NjQD5pv2vQlzb5MAvEn0Yl9hAiupRCx5BYezCbWkqeOtEH
Is8QXJ6vefVEygZG3OAHwSs3+drPdHNInodWjznGVOa5N7Y+J/lRjS6MT6zrsvLHoAgPSSD4E6qf
rS+zJ8hDuGFb7nr8aCl7rUr1fdgUiLvCuUuLK4Au1H5qpOEbI2/S8F5H9gKNjmRQvXLnXK1zLPvI
zeyZCKqaHt2maPoHYVHXwrN55Ya1WhfkZtZDaOxrYUU3ETS/XTB40RZqY71CJRxuQ1Y/TE+IDXzh
cdyP2Kc2mWupGRiv7Z5SHYjA71rrHV9iTFoPNUSxJtO0grM2TVrfCZq8P/f5AqUIepl6+85y2hug
I0B76xF4RVp21Uab++mYN9VoohDxzGxFhnWctoPdmNmXgfwJDtoylw1grUk/ybZBJSZjsz+JqS3l
tZeackBb5WXfEw5XAgPNCw9FaqcJvLvBPo6QHe6SYM7vxglm5uuAzSd89kRRrWUzewlHmu18DcJA
bSOjmjdZOQwEE5r4qo3wBVZkh5vzCAMk9VGf2UeJJpWkg5vA7fCAJK3qJHLl1g00dJVTNI+Hqidc
RHRUjahMZi34nqPFWem5LLSvXKO6eWXG1aQ9UBN2YUwg46Mg5UXTa5sE6fRTOkVQf9fVAuvtAD12
a5HFKn+wwIft+7auylWnvIhYizTuukxdMETk+ryNNHBw+U0/RqtRNsZjN+XcE/JKTFcTSUJwmjGu
nsUJ6p44MbDpRMijfces698oJImgyWyipUsPU5oeuy73i6kwTIxLNnTlaVbaARJQunXKKNzjZAtu
R5TijxW2aEL5hsyQH3s9C0CMBnjU2WrJVOspyEmfOHKe18YcUh5U+JvOg0xqwx/mxr1xoQhvuGVY
Nx1UMErUefc7i63siSXn7pwqdY8NAKWtBq3gN/zriVkuyukA2C0YrqwgqsVxHmHjAM8twh+2WXU7
NIyoKeGU4JFIAKXKVZnoBVwNQ1EWm+NpXE96YvXPFaoObmG4wkDCIuRTloanl2sWgnCMDqcmg9+x
cRbkJegUdL2BGoP5EM/49g6ZFpnxSm8QteVDUferIQMEfNBssDMHldRhgfDXLg3fYtJ+iZVTZCuY
KtWwaWe8Eqe0m4djGUljOrAtRgcuVUG2yvBFxxs9GaYfnAaIINM5R1s3RkJehfVy74qbnFGLNtrC
3XKgj7VU9kVlN/sqCaPh3h1N2GIw7ZK7KUHHXjtND/DCtXZI/dBYlB71eFmnAcVCLR6+iL5FWuIU
kLvluujslm0zbEdnM8xZUp9KsujOVRtUCaRhyMCE/nxPZ1MbVfrF4FKcrohF+nt4pMZZG4Pmm9vo
YtxEow1fNhLtscdc/jrm6PDBpuaiuJ6HQQBJwp4W3dvAt22OSRNTodFp01Hrw2nY1KYYb1KnLfbg
BdSw3E1SYFeI2xDY9uoHLOXuVtNU0RzIOqbfzdCsMRkE69YqEOrNkx6k11YdzV9BGCsH+I6i1mYA
hQK23SQvCUZHCrscu9mqJ0ef+XWP1pUKesffCRrprTVbqbVd2jVHQONUJygEg31IPOL4trGIGbwu
W09Zyj8izNzGad9upxGha6UDYxKipkJKvxC0jYVwd14fhd8wFFqP1VT1LK4ADWndwjUtVSOeFWC6
78Us0luLXNQGCx3FdZIGwVepKocEnV4fXYmvI5pLhkW/D3fLRE364tkV9OYyG4jJR2/coRWebux+
4l4O/HfcmTpn4rqw4/Z2Kk25S1FTNU+laU1X0Lfi9ayjgd+y5KxwlZmmvcoH+4fdSO06Jbee+Hko
Cjhfqvza9bqJSI6H93MQsjnmviCE/jKF1eT3rcVNk6KQPBiWiYy/H5sTtLDsxIzW10OJa4WfXp8N
WeqPg5k9BAVhgkV2w0+MWHjMjUxv1qOo599sNPpV4g2euYVLOBwm4ndAiXNRvDSqq6Idf828SSMj
rda5chqfm6zxA79fuhlUjRpjdnSYgFUD2yRR3EUCx/S+unWu7bE+kKOCBAH30ACOjn/bgAC+cZBY
L4LsslnX7AfPGrD1reQm+cWOWrM8yEarSZrXdnEVy8pde1kASqUHcnvWYnf8qqkwv7eBya6wwozH
jGLNCYJZyaTTHf2mdO1834M9vFdB66Cwd60VJIvytsWourdTD+2Dy+Xdb7jv5Wu7tYdvXWfl69aR
jb1PRr4XnobaQvQTgYzfVELzdoBoUNsPwL64idRF8FRDuVzswNraVoFO9W8i/oaFeoziZt6HFAkO
avS6wC89o8VD2zdXOR6DR9TpyRm0PhWWwRoDexOjagV0ZmnzuicP/wA0ENJ534zFarT7HPRqPKX7
UgZkLErctHXQNbZfdvqw1QeNg8eZygCMXND1yCIiyHCmEpODqs1LuKY3Cc9bZPp41qQbcU2u1cns
euCnFeXDAA/azhrY1ywAxIjD5PJ/arw8f84gCMJVZP/AVgUtcGtUELYHXoS7cmzZn9CGqgaYn7J+
hU1abjjpi2+d1WAEcZP7ALx8f13NnbVegucnd0qdh7wrc2RXpdOlP2ao+i+Tgli/1WZXZHe8DpbP
WPWTs5jkqlXbuRn/OefaLQQCm6LfkhskDhhdsTNl6Uz7OGnFdCpC3XotYxNFgyIvulYGF4ttHGtq
8Ilf5UZMNF7Aflc7ySpSAeC/qOc4wo7xAx9Tt/FM+87UkxBNUMVNyte1oT91PUvH0YSEbVqad01h
ub9seCi308JiXbUymr94RWB+CZppuCcJxl3Sgzh6dFldOunKpkNQUqdcoaMO5MV6pmCzGeI5fgi8
GRiiETsbTy+CGLy2dBJ/zJgEG0U9yfBdJwKNp8W6c7J6iqgregGEZ1tNGcIZquNEv8w8n4vY2D8E
M4qNZ+1EIS/Jd0KvxKEpKbxv05SLWnMSqKKBn2k/26lDmI/LTvwKOlvTN1oACK/AZbi1AjUfB4Xo
F4GIKyLg1qp5dczc3Am8WOsakt20n1qdoYfGmFjZoldnqVX67Zjx4bxUdJvUywdEyjH6Z+xywY1Z
xh7U5BpcJf4EQH5L34jHsupeHVf117Mrp3uz9+LTjBiZXVantHYFMPecMv32E1T5dqVofNDtHGV1
X+YY4tuVgG7CblvW5TU5+YnwsOTSNMowOkB1MFHrWLX9zN1wuBrcYtjIdBj7fdhl7c+KoLL1Lez6
a2B2ipvIgJjTJTu1njGqYeHHnf7cEgd/z0qb76Bsro6blJYIGNuxSxBuC+5k14WLY3GvVILwPKrG
DnWOLOrraHDZfQnZTGOVzFPx5OU0uljHpPpvx6j3gKR1BhtHbbYYRROv7p0bw8jKrdtjaFzRPjMF
/EyR9rvEaRTvssbpDjJCA74LiPVfYR4Chqv69FUzTLdaw5XUr4I5GcWWy8M07OLau2VZntOIzEEE
NxcpzmgFB091prX1mjgrcFJwSdjCbjSuK4xroR8GFay3KlRfqhiDjWoaiuALYeRFceXBotO5gN5K
PtmzTRLWoVKUNMa9UVIsDvrEPOAx50gWg5YHawW2AeFrL7EhxVGA8LDNTBKDxmCr6yCc3J8kNH+V
Mj8HUQosugETdzst3AfsBhBSN6ETZA9Ga3a7WMn4t5GlGC2DJiDwdLXc9AunpOLsT5OXn6YkxXgb
aFE4+3VjFdQp7HIC6+OCaubaMz6bAXoLmJJpctSNAk1612W6cYCbKRBlzlrXr9yhUfnGzG30c50J
pm+ThblKtgkcJDwmek59ssUIFDyOWaOQpsbh3G8pMAcoQqUIrt3Qc1I4CFWKZpOGIictpguO78HS
8PZRTn7/JtJtb/JDZeGDatwp/qGTHAfyrOXxKaExDbQaE8Do3phgcsBWl/YrEgeAGRWRk732IH7u
qrKY03Oo1+5jBZW5X3XM7FPndPwOpwoxJHtDCv9YWSRZQj+P4HDfSc/RnDU5+47UP68Mn0VTD695
1AwSPnNdv/ak6eafLRet7K4n7j0U7IHjvkAwgJmukvK8kN7TdZAW+qO2RLv70DT0Zu+VRrAC3VNs
TBwAt9hCm4dOTy3y5rXQf82xEW3HQh8137OKnBz8aFQdtq4owfHU9dvRUNghpS62xCbxtdm3wbwD
LKHOTSi7/YCUgGuU8ubbNhDxHWHdcEOXDzDSjg6QfWqEw78FAfFnMXUCB3NipQYeOCsE0VYk1rgT
ZT6YR6AT2jqym+C5MFyxzoNCuSdkM7g4IWPI+b6TLOxVzCR+zueCkBEnk0ZooIf5s+qmdNqkdZdF
m7nXBiZQSP7U77QweQbg3XDXIJuPRC0L1jOkolPYBmzMTlojVc5cKkDl+MpgabBB9FM/aLOmnjI6
0lBZ48T6ZeZJcpeBWV0X7BXtrrddd5PZ4JH9fDHiHEvShQ+gJJAVZ2VqyFNsdd5vunAg5RUBgM41
7QGaYWeIeYq3EOzR9kZz5aJsbr1sPxYp2pdydKJDkacmKs6iL3fpwgDOrcm6DjqtOuCzGB6EIRJO
1wzRYPDLqyrtnIOt2CYeaBYfMIXS1xQ6yRyMBKCw8QtRos5OdfGr0QevXvWYsiKoE0FiHNMoj16S
IKrUJu4yrmZCMZ+pKXtPZAVv+yh7pClTWq4NOwpqH7tOxVcsF1Pg2HHRqJIjdrl235S2g0ylmTAQ
FyRCTiIwvXBrwuNSi5+prQ741wpKBnzqGxM7dL8paAcDSCdIe+kriavviA+BCiE4qPZkBgEJPr44
nYWopqfQaAp0KVVBYWiNpiUK+JFRSIJ+omqFokRVe0HN8L5eDt2wdZl5tlelagXfzPtGoU9PQGlJ
BMPMVHMDzXskwCxm+djkSXHbOwWRYErekVfF7W07khtNd4mTcS4Utcv1bIjVlFzpeu980VMZH7Uh
b0DClm2n+9ZoYJcuIh2XHDbpNazsWvop9YjvqV4X8VapORteMDFikau9IYp3qjI4bOn1VG56LRgo
1ZG1OVdDPx8jLxlT2uPMNU/mtmF2p7eWe45jyMRXWTKV2hqmqvY0NxXevDCca1/kpI2stM7FphAz
nWdmaUsCHc8er/Nqdl4MsaTCgY7ZckM3JfvEXAq2xFFi601tV1yNrW5+J+LkDVmWjgudWtdTCcuf
ek5mtI7f5I0z72TuYnRNwjCRjzWhmL6Shq7DoUOgxnidNq4oHIU2VQLbhQzmamzXmd1rz2Uw1vvE
4Uj18zibvvPh9OvYaZL0W8pj+xISkPZAUTSjuNKn0UzizjEeBqhsS9IxaNap3pAQsBIsdUvtiW4F
uRfSFyKsKrULG2t+TKy4z9ZA68anFgfeuppC4zSRrj5TRU++FW2t9vSfztXBydsqxfJfoAIbLblB
O0iOMg8mRy0uu4QOORPdoIYqLQH2zYP3kAvCgeus1YbsHoSPE65yvFTcjXtXn7ZIGKqMhjINltuh
CDNBNOLYvzVEL9mhHaqWYk3O/rgyvKw5RB0xxPeKIs70pNmFHt03QZ4OTNnQyFbTZJLSt1w1PPV9
ksfrYIyLpwbvJDFy45JFp7quaVD8SJtv597TonMbtBWlrzhtgGiE+aESc7Q3o9IAI5Rk83NMIyx0
j2P6AHqTvBI91AKNb2d3i/xbCnoH1PGoQOEOlTi1Q6jHNyk+M3EfRRMzPGFuOUeLI/uQ52AYrxKq
zNxJI96+P7mye0XB2d7QxQantdF49jmW7MOroW7zOzd0mgeDa78JdamvMCu3dnUOQ33sTnSrKrZZ
WoZfbQKhxu/HgFxjAgKWC04zvdYpnLNVFzbouUPF4bKSnNvjkfZmWEF0MxwbjANdfGeEmTEfMiuo
y5d6ToYbvKLQNgs6qbwUAgWCL/SmfWwtWz1OtoMt0rQrrDZpXF4BooZ1N3uaxBxvdCkmmpk7xCqv
U/j6BML5iYRedua3a/raNPXW/JFOnTr2haXudJvARJr1/IwhOroGD7807tErerll/ZVN2kTwOakc
IORW2hTuJtvCnTIZmasKv84SZ7xPkpbKpyOUPNORQv6k45gXraPY6LeQiVz5NSYGJPc5oYvwKT06
+4b1clBW0p2ouTnf9Kpzj4ZrWqTVgTesvaIO0t2gBB5Wx46NrTQTce5L2e9kbC9NBOLJfAoawIkY
LNmQnBZC5b7jTkzVMm/0vexMLllx4bX1Bu2st7EoTvzmyNIRrlbKXQdWkr02nVLXSAuju3JMURUy
rYoSImDdl+tCQwnpFwhmu/ta1vKuibt4C3pjvMGvJr/oqtVPmFatDd6j7LWmeh+s4Lda+SauKSFm
coC/35QTs8QED0j3ClqsGL2WuFeUfsYXMkXFlsiZzkH5VLVHACDhtWNVzrPo7IQyg+xuqgEoVRyC
fV8aXjXcV2hwM+4pjBXEpBT+f7KWgk1fNd5dojoyVVnADwptYxvmurg14g4JZZW17jpnO3npBMG9
YGpu0DS6WFaCSOa/g5DY7xQPaB2vQlfiQwgy9uM9QToKWNCW4pANQf6Q6M3wzSjisKB9wdAQ1Yd0
vriL4qAC/mHrxVXSmjb92IhzAVWOJTNaaPn9hL6BcmZSJ7+EDOavsrGojAgqbWpPunJ6qmfRCmA1
ZBn93MxpzEUzPxS3gxcbvwyW4S4QZqDWRptg+ii0NLuna+DiMKkq/X4gh0kkRdYNQr7scb7Q/INr
UZvJFYAX9ymfg9La2H0H/KSBUMrNLM+7dZ4Yc3EIvBDwaN45lYYVj2gC5JWc9kUWztkj7ZVGv9fy
4SSJ6zx/StnltjRTs47o/jp9l815cQenxbqeAt1wybzq4Hj5tAFxy/LhtkFDUH1LntMNv/VzLVko
ylqKW1QR1mHeh9dd3CCWNibM2M82CMydF07NCBlBs4D7y9kk6+ySSGOJ11witVnHAhJSrqAjA70x
KenC8+839lTt2C9SelQ4aUzzkza9j7qCsjyf4ggvZH6i2h42N7HQg4T8oRHuqX+Gj5UWs65o9XgT
6jZJaoR6IYoS4vRk6xQaV1gu9ayLmRfWrTSi5/U4a/XoTyNwedWnQ76yy7b/BmONTSuoo/yuKVvv
T7dKOhyR+C6hVqaiuO8Y9d6civwYsI3dcIWxb7t2VGc9prsXAH3wQlOfN1sv0LivuG3ar+au8paY
PjO3SdmYziaSVr7vYKXZK9cR4p7CGYnfmr9V0hrDDA4Th01/1dp2dzvUPfrGrFZGuFWWi1NsJLMA
aAWOmkR50ZV3NMKT12OhRcYRbV0JfM+OSXG5SpR39MVIKe70LBUq/TF3jVrdhsq0WBtDgSUwzI56
EM2vgUqHBwVpnAr8bA0nBfml2VR5GHgryyHA2lYeIk9fr2hUROZaPttE3i9Izicy9JZB2cGs9deu
hAbL2QEw6G6sxnRjWmmPy2WczKshjZX3ko1CnQprprdbxGcxtsrM63ylWg0Xn9MlVL1Elt4mPS9o
S5gAdaUfigbAL1n34kwVIpoeUBJk6gthj6JhWV5Hews/9e9GCFfb5Z7RR3dc5V18ZcQza6PJbChx
PY1kfWWWbr5ZyriWX9surKkeGc4920CKckngxqfRS75TcyufHL0bqRYO5YY3Lr4i7avYBS3OP4mZ
MSDg5+QeuMTOFukIaqYZ23LeJwH1oYaarldSrjFomULbrpYAICXRd0piaZ5wC9QQgBHGPRlA859N
eKbr1JHRT1fyU/bKHKuGAgTte7gt6mSm+MVjdJzcZnzx5jS2t7FnK7Fhx8We03MYhi+eq9yf4bT0
DCnAJVrXqBNVsSGAH9OVVZX69eQpQhvdHSbYoGbyPR4L45VmUo2GGKxwv0Uom8Ab1GAUqeaH7s+I
8gU82pH6CynUAVy+hqaarUtTlImiJL9NWnrmbnR0GYPvgfWZ97gnvDMpTGQgkvZFD7CQRHWTBmIY
WIaJRcBiDlV/m5vRTOeifvwhOFd/GbTImWiqIdl3Sk8u8xw64hdZ6ebDVNN9jyp7HAf7JTyDQAUs
09uSz7Ynf5CFnpzQosGaDXJXF+tYeu0XGqUFx2SMUnUomz7A3cxGPflJTzEZo4VcduqwJ3uQtyG9
RCqzpmWTNA2QGfMckPumD1LzbHSj+R2kYz+taGRBt4qIo7W9ioO2tA/Uzsdzm2pdufs/LeiBrlDg
WJo4Ncq11pv9byhBRuuDaorv065wd3BJktM0hsOrhPdBDlaIrx+rQ9+renGZI0z1dJsoSvyxgf+l
Si0HvW+ibjJ82dxPMQRMFi6Yn8PHo/xDaEstUrgUQl14peaFoFtUSQDROaEaL+l8q93HHvTN8oZa
bmV+gtl9K7H/I7P1TAmz3aD6Iv445P+W2aLPAiuXk9GdI25sIoCTFpw/fpp/vDPPETZZHoPnEe6F
EtoyKm3soHDiWD5XzmMxb0jifzzEexW0K+gaBmRMWHiy5IUyOQVx0pOtNilK44TVDJ/GNQKZ7BwZ
n8iD3XcaaFfQ+5nTHBSBbi1Gsr/fF008IODEeKunKvAT0npDLLgi7O3xR+5e0UH2k/H05Vu/FSPz
yqT00IigIrcXe9rfA5bVnCp0tsBJ6MrXkzwU+lWhdmD7kvg6DDeQUg37E/H1+y+2yJ7RsEnL1W1x
qV2XkKRA2ZhULvp7WXb7vmi3Rrf5+Ju9n3keiHmu26isHdu8nBY0weliZRNC697t2D237unjv3/R
K4GpzQdixuEsQIlss2TfvrmG/KkzKtv2zaZb1bpY9eVLYtkrRdMrX9LVSas0eLyvsnluuBiTWzzE
ifNJu/B38wWXAZYMNgtpu/QKv7R/lDmybm8meWVYt2VUAYFo76cEwN2g6Xe05FpTSrj55MnfLYdl
UFdgLxOWyxeEiPH3nLEzD+1lpJMkT7wbVb9UA9FAYw7nRitPUyHBsdg3FOTIUVoKnaPZ3gEOXzX0
aSvqed+E4XUVjvef/KplEb6ZyX9+lQFdXfAy8A+8/VWqmahaYePxg/Z7WZlHQQxmJSZsgfLatbsV
/bygDnZPnszoX7HUCIzv0tQ/MTH884OA6LDBjPI73IsP4kiqdeGIZpaeb6vO0tYe7MuhDtdkOvYp
KRjUPz8+fvJ32/ny4H8Nufykvw4NqSYK+AVDqmBbWWQ8aH84UGzr1LAvo0/W7rtldTHYxbcfrRCF
88BgPeoYDmwKmQ7XiY+f6N0GwSCsLMeim42xtJZ5+0QIIqekKwyIHZO1oWiwq1JEtsSCHw/zfh5j
rXVw17JBeC7e2LfDhI7WtlprgIe03LupEL+BmZMbyZuneXbK548He/9MHlwZ4bKz2yb9/y6eqcqN
WmstBzhALGgNP61Co39mFn9y4L6ffwxD81pYtoaNa2d55r8mQ9mGsm9nL/Ad/blNtjm18gKFAOrk
7gsNXVcfP9T7qUcgoWOiWSw7uHcuHmrQ+qj16pB0GqP6UO8OfUAf1zE/p9686Yv5k/H+8cU4HOHf
sPXw35erK45dUn26BO1Sfu9t/SYb2/sCqKBZhMePn+zdSGzwzAkeyuMlgrF/+x61pUpVJGABo8Y5
82+W+7AHCl4nhruOWvHJTFxWzZu9iyNYQiImwMALjkXt7WhCjapDiccS7laN+aBbvwd8IIWg+uds
8v5L0Q+bj5/v3XRcRjQdpoiH89y6XGJdnedpKBiR7rsrK8Ymbf0KpvS/LmRXEl5iQDdYynjVLp6L
NNMkvcKmyDze0BzNUsEa5O/HT/KPL8UYLt/KJIoR5sW+TyGrcrEKE5QBx+QSb6orJ3uZuuePh/nT
8eLiG/EgVIiQ90jXti6i5r41JlfP5IJ61fQTXuR2XTv1eMhoKXOkTeXvwIBKX4fkmqq+gCaK3UpR
vdlIGHyfzM53626BTdnkSl1SfQQ4yy791yofmhp2Oq1q/USaNOhFBrwDiWs8GmafHeZWkogwu+KT
iOf9i4avDZPAAq+9wLAuXrTZkc2h0kHRvfX8VP2QYt4G6SmwHz9+0+8fzjANmymDRw8l4aWHEghh
PasWIV/Jy+7p8tvG1jFHb0GH0sr7/fFg/3oo5ubSFsMxGffioXKjH2LdIxlAY8I7vJsHLI/o/oZT
L7X9x0O925q5BLGTSMGD2Zhpl+f+66NBqU36OSzA22UpTRue6Ym25s6+QpEMk/0HRcGPx3u/xOkZ
xteyLXp5sUMvj/7XeJGeGhWtIyGb9qY6CoDTa6qG5dWo5f0nu8n7/YuhYKQJ+orYFsHI26Hixg7p
ogNsCwd8etDJ/4GQmfI1rdVLWlOI2L4Knak/Uhl/diiMf7LNLNP97dI0wLP9sSkvzaUuZ8zYTyki
hQ7WF8AmW8OqVl99/C7f35MwP/89xMXLrHS3c3SFQj2P9WJPe6ZpbU1ld1CIvlb1RO2Vbjk/oXzW
K7qz3hqdqP/r2bf8AhrtLfc1Dj958QtoyBZEZs8v0EkTrzDcn0qbNleQGzOn/uQ8+seqwCBnGTaX
XotbxUVkhEp4IpVHlJe10VrXroR3neecss3/5zjy7bxRWo9PUWccql7rQb8OqGrH0BLq7JND4l8z
xNNh6HkEykvu4+1ANa3Hw06nEluX+rmuwh+Jo33yLP9YbpjtOOZ0boM6++PbIYYoReeWcStSiNH8
hl7HlhxBOVn1J7P9vXeZfoR/j3QxE0BORm5U8tY6E9dNfDcz8aJf7QI8twCHK/IU3WuD9tT+f+wf
AJDhr/Luf5bU38SEpTvD5UpjaIsDgOQU/+PiIZMODy6yGu6b+mMc3lL+M8W+bu4GuVt6q5rxqeyv
xLir8Kmp+0idKPZ33tZK/bl8/WRJ/vuF/+9vuXgNZtLG4Fh4DfyWqdyF7U0pvgVwCgzrhAnRtnbx
+JAF9LumnSz9TVO63X1yJP5jWhER2BKVmc3kujwS9d42SlvxOioldDK+FQcWGoqPH/QfixEmJScG
sCCyDZd3/A6RKH5ocrj4X37L0tqi3/2FcW5DR97/PtSCHDLYZuigwbXy7RymT15tVqlh+xSJXvp4
OlcNrYiK7EeQVt0nY73/fESGNoGMaVqkni5zndog6xquB7PY0HZ17f4wUonT2Pv6X98ew3ARopkZ
+xiysrePNPUIhSaLYZy2P0UjndRMFMnltOH2+Uli5M8J/vYcWrYWiCKCMrXzP87/v05cz9Sauuoj
8gw0GXTPFVn/Axx7bXjJWojw9IWghrIhO+6+mAZNYyj4zZxWWpwOwMDDKT5g1LSfM4zZznWgquEX
9CVvPmE9QA/vUJzL12VuEeS2MwWFLdW07PfSxYv64xxbzxKj5J1QmXfFlIHpX/VD/1hFChvLaAB0
xrxdZDvToAsYp0isnhx7Dh+buE2+UsxoD0kxdr8CJ2kPeBbG5JMN8v3e8SexCdKF0I5T+mK9WhUd
euoYYUhef49hWybuzzoGf1TfJMnBkZ/s+O+jyOWm6JJelA5z+c+B/te3IIA10Ey0fAt3Bh0UnKnd
+TogesjfvjEH//l0NkFXSBKOrs6d2F12ir+GEzZ2YJ0OStwXaYHabSxj2Dozvv3ik4Hebzn8dcOj
tu44GMbExXyWluppJpVCWCy/Gia05k++0r/+Prde0mgsAKK5i4C48vAahiUmpmkuv9PKHR6d8/yf
lyQ0lv8d4uJd0Xesx+DAEAKPDbVJn9WycoANopz/eKR/PAwSKvJwxnIgG/LiuJpRrCdOU7rsMSBQ
JZQU47Mh3u/O1AP+GuJiVoNXHQYsWy5OSyCDeTqG9AIWw37GqL9pSjE+fvxIf0oAF5sM2R2deJsJ
QKfei1CmLJDIdm7h+QjUfNuorqoUhG4G+hYCA4r3IwqWR3AG97DuV26EC6QsYJZHawd/gS6T88e/
5/06syntYNmmUxI5IOsiVPTUnGSxowW+Xpj3phniB1U4v5t9MkdfaKL5yaXm/RflubFTUD5wLDQP
F180TCtbk53QKP/GwSlpnN/D3M6fbOTvj6YFDcPVk2zCkue+uKlRjwhoBU9p1uxf41IgNXe2mlF+
8iXfvzlGAaCOO5fTgjTa2y0jrXAK02wdVG+j/2irYhfgsB01ByeQoqO03ri7jz/Vvx7L4CgkVSLE
Ek68HXCG8t5r4LpWTvlYVPhnY8CkdIn5eJT3C4Lm4w69rhxkvIb5rrrj0kxFhR71D4fusnFXxLtC
r4AxhOm9Yw36JyHY+6vnMpzLRmUDfnl3q84CzWldOiStIhe0WvAF0eUmBTs/d+PeYJu0rUz37cha
f/yU7z/e22EvViG6K9gaSC9WSTdeIUXbYtG7csE9jGO7ZUP4JOHz/tOx4xtSN0h0cZ2XF8MBLSgw
KUbxCqXrVVND+k6n4VhJ7ZP08T/G4agk/oNPRB3auJgiJqS5WlcUr2gQ7FsLXk+c0uzLx+9u+bFv
d7DlPP7fQS6OMMxg00THSbzF8ZCu9BCBc5OtoPCsZkLBLPgdjerh4yH/cWeiL9yyZzAzTf1dpN7H
1YDocIy5lMXnaJBb+jOtRiV+6Hp4HtMeVbB4QYxLAq9ex2b6yaJ4N108ruwCMijrgYbfxjKL/woP
/i9p59UcN7Jk4V+ECHjz2mhDb0SRFPmC0EgaeO/x6/cDd3fUXcRthOY+aEIKxjBRLisr8+Q5LU3l
STe3+PZyV26aHt7vzDK+l1qruArVqG2C+PHz+TF/WsvZJiACnmk6960t+Jehp9EjMnOIjCOIAZGL
iy/wy+HO7zkW502pc4LnZEmxRUiHNdvEL2vztxyNL0CrBOiCErqjv4cvYxNkgKmnFy+BTSZ+aZNZ
CuGGLq/rIJmn2k3Btg0HM432RSxfSu1d5f2yrEujX7ku1E/3xfxh0J9Sc5EN/i5MwlSNfVzqZgg/
Pb2pJMAiIjInq8H2gjZLbxF9gl0dnClw91Ay2+Yiz1XjIUhUaKHDCt2wNLT94KrCCY2wanvaFmii
+tiDg+y2VTcWdIFLg3RtQ12mu0oMyNml7594vUxL7VtrISS0pwwZtSse6JOfdVAVYMJhiKWG9anS
mHhqN0gyUuQF6ZobHlDTtkAGAz3NTr5QQt+8OL/Gi/ZItHNwyfJRFjld4riaOqU2AT45QXKlNm/o
hMLssJf1lcB9YdtSUqcyQYjLgRGfu2FCUwPsRIxrLO84mT/gfzn4kr1y+y4NZ06icxuqHBBLOJGs
9xRwG0VuEr0rxs+u25vazyJYcXXLVgzklCj7zQji00kLQ1kJ2lCNXF++bKafE0wI/vAQdj/Pr83S
nOm8CKj8EbPgvE/NRAnSvZbnhG7ELXGQUNOD9EeHr98Jo3wlOFLnhRbO+kfszk3Ec+fTWY/Iz+dW
GCNwG/TyC8wR6BpmQaQ8DqMMTHMEJQpfoKTKf9VZb+0ROW+fExrKblKQvKgODAk6Pt1E5HOgwgd6
3pJr72cNHcLXKfCTH5ZVGxfQJABkHTvbetOjXPn+5/NFlkPGJcsKGXIhX122nMde9kK31cetFwBn
d/ILx/tj3BBH9NiMcGSQtI3J6WIGwBvt/OiryS6SVjRivpwfz9I2M3VS3ybVdiqy8/Vz5H4dvYRx
S5cYT2pR/c8GXX9V7Lj8wkNX+zGZAQ7wvMWFCw07hFzkcNjbsuBXayfSWMghcnmN0I8kd9Iti/fX
kCGsFwG13fXkklZCvYVR/u+jl8cPb5+PO/5olJJnSyVPfqCXPVyEZe+mvANGO73w+nQlDlozJYQo
NhJFQxmTpIjzl4KWL9C2YIy/BfqKE184uCdDEqYRTtjG0DLsAFzd+nW9s5rwAjm1ldVaMgPzKUG5
46jEH8L+kEO50itQ18ycvW2V6s6j+Rz6sf35TaF/9gzoNFHnBVUIZ5olmNG6Ko+idu7Fi157syKA
fDpvYGEcc43JJjAlz0Y95nSfF14RB2bexi5EDn+HTbrPIeIAsbtyBS1s7rnUC7MT3o1XrXBuZQgs
A8kEUAqpwg2JNWoSEI5lPylx0SY0rizO59gUONxcNlBkeOLnyPh0VBXEefGYxZBd0zkGvwVE7ZN5
KWc4yb2lQhrXQqKI1m7255sPuzoJTyIIHTrUU7tTGWSeVNBiQVO9q8XGNq8lWFCV3flFW7owAH8q
5GDIWyikLk7tmPWAtliVxW6XEHUVAQnPR8d+1uF/gwyA2kAT7krvSvMPXf4CEcBgP1VQcXbfi+Ja
n6H7u6G9J3N7/rMWNivJOjSj5+gYrIww63TBl0ZIjxpH/EDHJX3y9crCLm0jdhFLSsMgpBGCE3Gm
ciiTHAs21/5IuxaKg5S0YQWp10AQSwfD5vJH5Jq8hWII0YxvmaYPDwH0OT4qOt609WPjEirTlREt
m5kTPvPTwhBjs8nXa83GMaJKN7kmdVwjNtECvD+/MktW8FNcLiCHebcIg1G9wAE4Aey9r2+MmaNr
iuGJWBnKwvJTVSFuVqhjQf4tbP4yLgtZy3h/Wm17YdARyPqtRMwL42AIJm92MkkmzuR037eT32pJ
xTgmFAVhWtnXQJbkxPrT3ABA1xktwfrbFuV3cSRDk7WRZgFub5D9aK+mhlqBPa4cl4Ub8cSKsJlH
qLOnLsJKN8JBQoaghbN0lID/ySuPyaVpgxgZfAslKICcwvJDW6yMdoEKsWXGl4jrbnWoRLwmPJzf
ZZ+yEPO0cfA5oEROnyIYrVI9vWkClMT0in5JSCCohF+NDnTDBhNZlOh7tX//G5sAVAFak8URPW7j
Vd7oW9iEEHYXdkTEl4XyWOVkrtIHaNPOW1vwP5Dbz5kWavlzgfJ0/5H5Nsxcg69QQ4kDNYDLtLO2
ZsvFCSjW6lYu/6VlI99HgsMmRYsWyqm1EsHGlM4oZJMn+2pWoFBsY6fWK6+PpW04J3CgV1fmBJUw
ptaA/8GRYCSQc/Mw596iFJ12uB4g3FyJAhYHdGRq/pSjcDPU6aR1TExplfM1oeccdXJjmuUux+r9
/EotOSPqoPg6gg1WTBhV2OUhg8YUbIGX9mjdQ1K1shnWTAijGY2g8wsPE1UxOF8mv0KDc/T9L+cH
srw8vwcyb8mjOQtGUOqTgxW7lzYTbwKdKtgXDdm483YWtzbhLHktHB6wqlM7sPjIU0ZvCUxV+tMM
iukc72JCDasc41tNstfyd0vOYg6f/8+eJTwYRxt2HN/LObgFrZF1FeRu3vnWxlfLNw9lNT/0D0Ee
78+PctHqrBtEbptEjxii9Ilv1H5YJrN86RW1xSL5pSrDhi6dVFPc1l4x9xnkhEukLPCPvXkPHa2e
2mcWzGTYm6UiR8izJOjZFB0R2vGpN+5TMuwGZETR7vwwP0MrBbvC9tcVqF0QmUgol04HKFX08nHU
4HU7NIwWaEdeo3Q5c1rUl7Bwnze+uJOOxiycC9Obue5TbFM1YefACSgP0sOY+MhX9PQGpn8e3JzM
sXBC9AGmzyCfx6re+Aq0qDXci7Qjnx/V4jk8GtW8s45WEp56v0UoBz4EB85ho0EdEbnyzo8AUa5J
UXwACYWEkGmTWaeTh4gajOipsaRJ/K7WSeE3BuSzQQtVV2n9QGyG/mXvKzp37UaHwgx2DE2+lOG+
ir57pul2/rcuX/E/80759Cm2o88AAzCP4gOxU8F4tUXDGyKsf6U2VAstfeKJ7a/cDYvze2RH2DUa
9Hrk9BmypMJHOKmu1MBhMr3DCbni6Rb9Njh0yj8Ed2AnTifXL0l5wL7F/pRGZ6PlkI1BEb5iZGna
iIDAggNRXcAxafKQQq0OpyhURrZf3BiJd9M29suf70oCH4fSDyAGW+yjs4pOCoBgJG4cmdlXUx6T
ywrWx5tAdbQXI41fz5tbelibszIvsB8iIHRMTucu6GbiwXCECBWS5a65JA+bd28mIR8KmxI0ndZt
0m9rb3/e7vxrxU3IW2yOvVgzGhNPzeaIYnStL3M5SeEN/Ev6Ia5HeSPnRv1gN1dB8jK0OSypq4i4
+RefGgYcqpBEUMlpEvcJhktnGptQQxzCh+YWCrPGupGC4ZtUa5C0UNLYpK39CuX39Nr0xbhtolF3
6zj84mvae6/4L5pdxXeSOU6HuIN2w6dDZuWt8nk3833MDC3RXKey+IBMJLmW5l6mTal9bYrXPvt2
fuo/35inv1/we1lao40QKDyylUMsvVgqhGaPSXow7G3ht398ak6NCdtLjzIdjjUG4yVb2Q8g/4S2
Ceqg80NauB3ZwHgzXkJoDOoiGkGtm47KIokDYOwb3Xox4ndNe5ayYVMaN7H6XPbXdbeHpE2N12r5
ysJ6zUUm4HmIGs71mNOtnFldnpRaY2xU5U2Jt4k3c9vCb/q3ZbignKoaWk2j3zn9sxfXe8+5XU0G
6J9P03yOwC3MPR4U+oVNLcGaaw8dm5r+9B3EMDFkWmV41egAemgIkO5bqHa7iGNsughMuVm+H9Td
1EIHvu31B7Vw6+CiJOQdPejte4Q2Dh1twsNTD6GHPDdAx25pBPve1t3Rg800ekKIdUSSbrCRgK2/
01y0jaXbpnhP9V919eTY97pziEb54AOloMKRpE+tdZVla9nOhXjsdOjCbg5Dy5uyhKHT3A69G4za
5CIRxQl0Wlq3wE23Y/TFgPfl/I5bOEQnMy4sejQMkpT0mO3GfdtTJWcen3ips9n8Gx7iK7HKygJr
QmwNgXNs1z7mcrg+G5r85eQqHiCH6VxVQdJo/CnDA3l+iJ8vvJOZFXEOYdF0MNp1BtQWpusX0B2D
wwwRLTlvRlU/e+T5EuCFQvpnbvo4PT/eOEL00WJnnAYXvkl6NJ+y5JdjXCnto2VJG0i0pxiurde+
iiGR2avaT/L3m94wIfXqNxKJyUK77YdDDY2aJBUr0e/HlStcGScfODuAo0DRS2ncgFuUiYBVp7Gv
IohWMz3FHGceZpf2VzIqm5lh1vIfpvA9L8ADp5sG3YRscNwxhBrKeQReR8/FvQ0nY2XdqbX5/fw8
fga9wSDAQ8MALqxZpB8FJ0C2Qh7Hmnn0J3UrWa4TP4fBJdKJKhijCN4w3fpikyKnlOeUr+TL2+En
XCErs7W4a46+QjiPKloSVuzxFTKdBLr3swTrmcFdvTLYxU1zZEY4f7INV1Hi9camrxztSzYp8oz2
Ma4HY6rogIKhtUVI1I09lewltJO7tvVaVNHR06m10F55sCyE98w9wrGODbCZLilx7mVnKuC4NDZJ
+YiSUFBdanoCn3i6sZxt63yz8jeZ9edlzJ/vxgBPsvPWV+CGvp6fmA9X/2mzHn2JMP/0u2iaVvMl
dTfBuXbRAunN4pnM/MqBmB8aYgUKOEm9l+svsrz3p7thfNYlBGKji5asdRSNG7W9qih31PYuNRo3
gipt0Btasr5B9MVbszic/+aFGHSevbnj1zTgDBXx53BF9RYiqQbA4G+eijbPm6QFm6rWDwN4Ea+b
3AYcCSh4pVlxPou7lSWbyTHgkhAvTgiqzLwLJwMhG8RF2gZt31TqfsJUm6zs2M+voXmMvy0J6+Lb
HmzAFZZAQPBOoQcl2DeQR5nI3Z+fzjVLwtFQUxbNi7Hka/LW4+aeMnKnyYPersTwH4i6z3vtnzGJ
txKEtbY1BnjBsJxViSGF5K/JVdHCrRg+tlK0U3GVvuJO0p0iH1Ttyg+vdYeo6CVxvmnFi2VP/OO9
H28ph9PYe585qRuVqLK/EPmOzuP5mVl2kXMGkUY4SrAfx/jIk5ta4oGc4INNybsbAkh8KwsqXRSC
m0Hbx6q+H+SJTI61hdryPfZ+VOg9u+hhHSanQyt5rSdweecffZDgN6ZALwe62QxEzad9PhauIsOm
49zUgeoidENG57qWH/oGTfTwz693SlRzXwnzASW+sE1SNZX6EO3mDcoW5KukW69Ldk1SrAASloaI
HYs6xVxG+gThleoYpLLFhTAYUuRKKGZsUBdER2CE2xbaTWnP/+sdPHovIWDkhk3jEbBMZycrA14K
1Geukzn7Qv7dFvtY0R0YoyDFzURwmg++ts0d5UVrzK065K6TG0/oKF9CxXrjwKoMedOj2Sv3oa7v
jS5eSdEvz8rRtwgxRRs78O4ZzH47J0WMA8JYsnmbQ80BL67Wu5WcXqET2KYrR2DB4Z3MwfzzoxPg
lXQRZsCTkJWILhOr34dTtsubPy8c2watEQwQl0fpWNjXCRAEJZyHF0dXECi7TrNSDViewCMLgj9V
OsQ95YyBpM6db70O2mWdXsT9qzY8pvkVqEVdvenztS00x9mCxzsZl3BowCr5AZqohILWszK9epJ3
SOQrKXuo0ARpQJWB9VvLbi0umTbDsEx6yqkbnS6Z0fCINkdGqpucC0+/SGHkzjNn5Q09T9inoR2Z
ESa0QhJntGYzCFG5RX8I0JHKIHf7ktPrBvHyiiueo/pz5oSZJOhX4cPjlorzByXdS9EtAPHQ/4VK
EokPWJq5Gd08+6noKEP3KxHH+SmFgPB0SpMoTZQmwe1qdQCDpXwPM/dtl9j/5rD9M6WWrJyaQY+O
lFvCGAvjS93cR+a3yftyfh5nP/Gfp5HuqlMTeSgHcjuwavEkbeQe+m1pxcLaXAnPszhvZDgpsNAG
wUEbeOsO/tUsh3B+IPMuFgcCxgYcCI2BMwb9dCB+Scu9LbMkdaXBzooqlH2rlA04mGvJXMNoLEXJ
xABzeZScjQbJlmAN1QSjjlgZdG+68W8jUC+y5qLMB9eM4E137uUJwqqBmMRKaPQ8yFZ9sIcnp0VV
7aej38naz9z6KWmoUD44Tbat83yr99eS9d02Kzdu1JWYbsndnXzwHPQd+e1ZTytBRpS7K1brezUa
ScjkzQ/NoeeUH8SA8tPwBdrs7DoYp9CVevneDtpk5TsWVunkM4RVItHFKxPmxU1QkohQzUbmjdF2
lzFMX3CxoGTrN9FaB/zsCoStcWJU8Ex+qtroT2I0nXYZiaw+GzdVmO2AibotFH2y9mxbq6xv8+H8
ZJUQ8SOnpsLdczrjej5omTmwIY2+2tRXUQJLpwSwe2vfJdZ9NlZ/62b6pTKly/MHYSmXiZv/x7At
OCe/05KEWZ7fkl/b/k1R//5gb7S/5tVlEwHzmeDwuy4RFWuNlTvgA+r/edCEhXMuRv6UQ7DaXPHQ
XzE2zVCku8B2yi2aNfKN4sFR0UFstUmyvnd1J3oKkhRO2X4KXPQ7VCI5AFyKtebfFrwPk/H7g4S1
D9S2JrHJZJi07afdWw/OqctWXNwC+s4+sSKutWmWnTdiJeKu69DvCMcXuse59raa/b2CEzbINuRO
rRxqY9mdYsi8MxQPx6ciarYwCOfNN9Uhg5pspunbyn5Y3ohzZX1um3bEPFydZUVajKxJ3j4P43Wi
XWrJvqPvaEBhagQUfp3qLsx5580upeWYk99m1dP9H080GjkoV296hyTjLB8Z8LgLdw04sKre2rDW
5t73LoKoq6K3kiqR5QJr38A/nkhfIE5WLRcut4j0ZGNf12vfNy/8p51KnxcxkTzfG6InAs1VBhKz
Yur9dlZNjZsOGe0HZKbr+G2cVrbIZ1YHeqPmvrL/tydsRCn3E8QimI4oHC5IpihhvwmUfVGgS3gV
Fs+d/WQYt5CsB0NLSvIW6Q80oX9FwzZUHs1ileBinv5z4xe2rDmZqdJF8/IY37J2uqySaY9G6qYN
n1XJjduXUVfJanwtR75o5a5eSrofT4YI9YB8zBgUWonJtjYENzeJV+xN79ajIJbyXCp+OgHsISvp
hv9g1ZFJss3YqY878ugOlLieK6vRjM2UvDmJvDGyb5Bpb6zy2bQvy6F2LetJ0qWVwYobjYZC6Hro
GyBUUAlOhPink3taFiUbHIt8Ccm+24NJMG405aXqvuT5igMWczcY+GAOAb+tyvCcCXGJViHt3aE7
6HYtEMIW7l/VaTdObOy0ZA2HJN7l82BmM5Rhwfh+Iooz4ATPyAtACZzJXuXmY5xDxI88Uk3kA1PQ
YbKm8NKvsmQlLF4YpEl7IawWNPtALigMEu3Wctaxid0BjoANR67dkqz9hgxNdIUgvLI578kWzUEq
BYcGADH9w/kfbZuqzRGihoyb6/tdL0FWo90K+Z+ylvn+yB4dH0kmlN4SqrbzxemQTjz1mD48tLO0
Ie2aFZAgE2EmVAKzYDNREdJgvP/me891BkH5q2odqKmM6hPSk7Z5OD/eT3kO8TvmCTkacBMPjtx6
fIcZeRtb9fYJOl/pA35SL27hlvCyGyt0U2WHTM7GDm8caSW78enICBMh+OZ6AjE/qnyAjki629v+
Bqw0Og1IjmZyvINxfVepxso5XdjOJ7MvOGgPVSkjgmWVVF6wi4qrCgKPJNhL3YU0vJ2f4UVT3I0U
k+nt+sTwU3tOq5YOJwfCdDJah0LdJVW4Vbut5604hHnPfNpTNGGBbQMKa4qb145zS/crihiDcz81
oFNfp7VUyrIJ4LYwKwI8EF+pkax3WTnjxwO0fj+kev9O/G/nZ+xTUPuxJ0ES/78RIZoIqgB5QpNX
i1zTykZhSK53kua339LOSXamHekXfjzJT9mQRPukKPqbBoBUR1eDFF7GqKWu5R/Eh7P4QYJbLwO0
30JdZtTq1pLdKgCiYG8N79pCSTF4dMLLEl741tmiPBUabqWsfYCYAPnfD7C4JqnWAeAXkgNqE+uT
lfIBVoRYpuKm0k5DQ0++RTszR6MAFSanonZOwf6HbqxEd5/uUtG6sB7SqI8Goq+0IcmHoLmbIF1V
w79AxPf9q2zvk2pfVysjXt5nvwcszDiqdGWXVQxY896T+MtY3Kb63+e32eLBdH6bELKqeSlPSEth
giqsXP0A25ba990EmGENN742mPnnRz5WT1E+SHLmT4vGu7x9lxx5r652Hy060qPxCJ7ciTUthnAf
Kw0vT1RQ9UOP7ipPIdiyLWfFbc8h42df83v2BLedO1lsGPPsDdMDUga6c2eaN0N2CAGUNFeUcc4v
1tIU0opLuxM8ejMj7+kUmlqZoNfrxG5RPIb9dz+iCrGWN1mx8XEMjpYJaUQl7TtsIL9NRRoRbLQC
yXifH8lShHE0EjEwVanj9WaJlTTRvqq9tmubrdz18UbRVs7Q0oYgoQjCR0eEl46p0zkDAKEjRk9N
D4yBX+1T6hPjtxb10da47r3D+WEtTt6RMeE0KYlhDp2Csd7rd6b/GNEIXHV/nTeyOHdHRuaPOFoh
D0dEcIYRi9tH7W5Tc48qNpKGax5vcTQUl+G1MOZGPmG72U3mo0TOTVqAG8l/DF2/GdF7NpRdVao7
O3hKKJcq6LFOmdtW21G7D4bv1Rrh6OJwf3/FB0nE0XABUXWhVPAVWURny/fBuNJQ5l7jWVyyAlMy
YT2UCzxghG3iOFylZgwUH9ofPd469p00bO21LOrSjBLlzq9v6vaGI8yoCY1bjUhh4tY+CkzOWw1c
tI9WoBUfqVjRK8H+A/sAj4ZZTeB0g4zwD8jObEWRqR+2STnLWCS5fRFD5Yb2JXp1lEOmpNr5sd3e
2vZU7OSoH/PbwbRq6KzsxC5/9RLdekDgct9R3SkKkPv1E/WXXCdoigGwBQ6XG5lc7qHIz1F6t9Om
uek6bZAPSWoMBAiVXuhbXcv8NWLrxWmEIJFmwRnwKTamlwEi1mMNHlsqnbs+VF2F1u3Gj3d/ftBI
IP1jRoiPkxohpcZkHkdP6zZaj5CilW9g3riP2uTiv7Ml7Aw9JuUuddjqsjc7uc7i26S4a9eArItB
DJET/FAkx7RPKVofiblaYwld04h+tdBhlHK7QVKTh7OO8G31AC3jNodJr1oDfS4dMMjSZipyi90v
clYkmapIbcialYq6zbxdqgCRgULtT8kz5zCNpBODpHmRR5JwJReFAiW+xQjLym/3RWT9nRSGvvJA
XgqFYQW3SalgCRD96QnzWj2QwKLzXszr6xCQrp8FK/fW4nyh9jBzhsG+IOYwzS5oy2miXxFJ5Hg7
DO+VUm3MgYb+oVzrwlwaDkJdgDzo6CNfI8wZMkx5OY7cKDEiYnb+2CUP53f3ooGZLVqHbgpeByFy
t53OkJKEwRgz6Le9jJof/8YA9XNUCvHfYguk40eD7+i0QMIr+JNMF0JnwZp+xKeK0ry1ECUg0c/a
Q24vrHpeqWlZRWi/DbV3UMKdo5IMSLeIoWrGix/NIj43syYuFG//ZnS/DQthRVf4tMcmtFxaZfad
vjRX99UV0MnSdjsem3BnKHWC8nfA2Hz1DZ6erTbsJNvYj8ZKhDT7MfFuAm1OGRE6Y97owk6gVGLZ
0QRwpbIUD+GsH0NFvqN/rbrowRl8E+rp5EaGNeD8DC4ODwAT1HgQSjliN3NqOnrjdZgdOxjClFLb
xpGFVL32kkk/z5ta3ibc7XSimnTYiXVZKNHTzJx7sbpCc03vxsrvRxNavEtV+5WXF4bxKKlfrW7l
ApnP6KeJnZklSLtCRi3i8nTIZwnkGKGJ8KcKOif7WYLvteOD3u/Pj3DxNCMlhqsgOQha5dT75XoX
WKWKqbLhlVUr1YXnR2t10zUjwnMbTp+MSx4jsLm99J781YIJ+vw4FqcMvwfV5hxf2sI4pNFykHzE
K41S+6v0w8sCwlyw0Rd2/15Wa53MSw8RKBL/sSYMSJN5a/c5JwzlcQJpud2R+dwg+wYryKvXOXeK
8Xp+fItpTZq8AIoDg6GrZJ6Ao9AZiUYpDSVMouH02E+pi2rgMyrBL5mMRB79JUaGcmxWILmjfdOc
cau2+ra1i52FRPr5b1me69+fIsRSXheNSVLiwhyjd0uJKOoOEdvWaHbJsGJqYaIBjtCqN4MVeCkL
y1ojXY5uLTsHbaZtUSMZvg2MC9NKt779jgDy+YGtWROWNWztpkMulXPHe9mcnkv/2+CrFCB4MjlX
ZnZx3tyCI6Mj0mRgkBVxCQlxYl1UxqT2NO6BBzmQfmuln0bzBbXkFYe54KcR5aC5gPiXhniRPUYf
Kims0rmpjmJZ9dXsYbO4yvQLJUF/S+X1XKykbZfmUSFlq869SBDQCgOz0xZEuIfXTKaHoXSDbLhW
d2jU77qmXmmzXNiLEKOSiEZbCEIQkb1PlszKl+d2zhqB5oE7aoPUH3sk9TdebD2Yf4xHI3DA4Kxl
BHEXxThhbJOfD16M/KcbwWjfSvamobLQc87+fG8cmRH1MqpaLYxmNuMRYkf1bVG7XqHSt7Ti/5du
OGRgHKph9I8DJxNOWOkYbVNMNHZORQXqFopi2HYytbweE/1RGurw0Q5H7YdXms1+zGhgDyKzDTZ6
gAj1yvFb2qfMLEU5lpIzIXwKQswKIqQq18TwHsrvUHAm04yLvjLoL3fqTbiWg1vcp0cGhfM+1V4Z
5iYGc2hK2gRh82f0hzdqHrl9+q4EK+d96cUG1vj3AIWgUwpsNW2QCOIJflPYNdiaBuaXOc6FN3Iv
yThsyjZO+f38Xlob5nw9H10d4KDSoQsYJm1bj2WOownMlzywD5IzPZTowPXZKlR0HooQwpwMVYhB
DW/wtDrTErdQfw3FbkC/Wb/0nRvLubT0e6d5btN9aSQIt1/23spza9En2FC3ABmZdUWFq7Ltmyn3
c6a5kX0ICi4aS9t3tivTe9SvsY18wgx9+APep6gD0eFOc+3p5Mb+4HVSyORqZiGTog7rXd+PAEVS
PaVlw/uh+1FBb22vXsE0+CQhwr3tLZShSQA7XOJBenl+tZdGT/UcgSRqyzzTBAfl9OgIGJnOzHs2
EgYQZEWHqN7bUnwo0+lw3tgnnMw8/CNrYkYvjzS/KUKD/FR23yrIrpdVCar7EeflBrm+7dNom1Xq
bRnsC2WrutalGX4tohucNLrriC5ED8NW2irRyocthJx811yOngUkIKE8XRYJCS5SaszCQHkyLot7
roaViV66vsFq0lfLW9WGZeTUhBN7QSU182mOQyvejl0MFGi0+ks0JssQVWWneTo/24sO5Njk/ElH
J1lvm1gl9CTunAkBy+9d+2xOu16hvP46IAaMaKD0dt7m4kRyhpgs9pMuEodCoOjHUcUok95BzbG+
6b013N3iRKK/Sj6J17gjgpkUT4knoBjosNc3cnJtDV8k9eD0j+cHsnguePMblJEVJPuE5bJzrSrN
fD4XfvYQa9JVGZRPow3bcdveBUjGnze3OG8ofJjwA2m8rARzcuP3TQr+2dXasr6uzdy5Mac1uoT5
l4helh34jxFhPxQRicGgw4hhDFsnLpEVibelunJ/LG87mCGpjnPa2Qin2y4h7sqiGFaETk8fq16h
n7K4DPvgQoJNeIr1i7Zwrnvjl+WshQT/wfQsZDAzIGpie6yJkhFyxw4xcqttm/BNkVCXq9R9F3ju
0KaH1Hjv8+HgK2vln6VNOTNjgXuDq8oQC9RdSZHYzoDwTWEV3bd+TX5TnuLbslMQUPWbeuWls7SU
JHHBPwELohdQcFjkbA0JpBXJFCgWvfZy4nYIfp3fk4vB3rGRedMe+49hquU+wEgnOc5mKCA496Vd
YjC10Sy2PBwmMmBZ5DwOloOwR/jzv/wA4VTkVPekJOUDfCnd69nBmt58704fD03t79rqUZW/2trf
VJPP2106jMfjFs5JXTWanWosphHl6DQcbHPYnrewFGPNVB64SCCZvHxOZ7byFV+r65HjDg+spuyU
7jmSDrp00UKDnNBDet7c0u4kOYQo7YwFJHdzas6YPGhuA1ymotwoTu9GDTwd0XsuhbvzhpZm7tiQ
ECLXhZH5YFYg3y+yp3bKvmrZtDKWpZ1PRXLGIHNXf6LZC3Uv0eyOCCpovtnkk8uH7N887I9NzKM8
2veG3CRl+vGy6J+5LS160nlTuq3vNuVDucYdvbg4RwMSNrkTO3IZeizOGF8pVYfMBQR0drQZ1oKc
NUPCth6kSG27mJmLvCvFfu6S26r+YgUrcc7S+pAmpgZCY8pn8qYhmuzJ9GzObGLnm056K4ryovez
lft5aaeZwDER01X5Iz5EvUA2Jt3CNdhxhDa3p7R0UyjR8/n9vJRH+xConrnWIRAVC6pyE1lZiwAj
uiPSe1tqB1XSaLOR3RGa2X4I4GD9S4MDuRyrvdP6O58jZRe+m7T2yr5f9MYID8CWD8u8gR7z6a7U
CrOnuJfi8qeGNvWwGzbxQD1Wz8HW5+izO24elrTMhxu6ddx8WuuVnp2SGD4cf4BwLEynTFIrm/Nd
hA1Zu4+t6wwlPBACfirv2jznveSen/+lLXtsUjgbhtdHfuFTm3eqYR82f9XhIe+17dT8dd7OEuSO
df49ucLZMDJnDK2ZMHE0hhC+82xT9HBbWtWV30ByRmvU1mr+0qb40PfZLlJDyHn+uItmfh0df4QQ
OOkIFdj9PMF16m0SlfQ9Gpn2r8n4UZp/jcEtWi1urB/q9l8k4JDp+9ADnYu0wizb2hjEFOtxqUp0
4VsoQeXejRo9NfY2Mv+Kuu35yV4KrY/NCXNd5kRlEsUe1w+m12wsd51u0gdPdnHOwyl/qsj7Mauz
IiBuAk018W0XNmHk2DXUjqhcbcdymxd3kwzdzhoFzOKweNhp1J5nhRThfAbhlLd6iJ0yfZoPRVce
BsXf2uWtvZZGWDQFKd1MNg0mTLzPiyoNzCoqcQWygs7fhSZtUwQBvO/hn8q/z5M3l7No5DXJPov1
4XC0hwZ0PZFDs2sMCGUeu/heNnvXUm7qZuW0L10dx8bmqOno3lXCuPADC2NZV2eHLlJkxPZ0aNZa
tLHP78E1U0IAFsdTqacKprT+zhp/JNID0fqKjSXnBXMaEZ4KMTRgFWE4NXXVPGJDFG25idvcBW+y
QWJp4/yr0RxZEsIuumycycmx5Dc0gWr0lnl3Xfd2fsqW3P/xcIT9HZWdLucZRgw9pOv4S12GG8U4
KMrXdCw39XBflrvzFhcnEPFD1HbINX9i6uKy8ZEYI1s/BHd6vi/kyzD5Cufef2dF2HUjoOp2KLFS
ZIjgKb70PiXTVaio90ngrV3i80oId+hMWs+LjfHgkARXG4CRUCKb/DkkobuKtrgeYj2zTDYtFGiJ
dKkjWsr1Y1z5NIp6quIadrXyDQtvDz4Blgn4LEhjiUd6KAB8FPMnwLqmWruu2hbGZQd/oGz96FbR
dQuuai4/Av0nsQa9sXDQ1HrI62l+EaRGB7uTtEe+7qtuDhe0A1ynvrnWwDIHIeIEM7F0y8wVV5Cf
p4duUqqh1TRWE1DfrjftHRn68/tlwXXMELtZoBxqfFh0Ty1kdZ2MlUZ9LJDeC/8uHYdNlKzkpNds
CHtST0LZSktsTD30WfZ7bEk3ij3sz49k4XydjERYmz6MDc0v2AlVlNPd7yblZag9KXBR/Td24K4/
nbEJ9l8Fsnc4tvVuk8v3ACLaqHDXQdJL00ZOgOw6/5mZ/k8NqVQZS63iWT1VAKs2bTUWMeR2irP1
FJQRwXbmQb5L29LZeeTEL4N+6C8HYAxw7WjZhU4LA0Ao05rTlwGyOnbZH6YgiPZYa3/RjiOHmyoo
M1g3HQ9ZwCoiARkOE8TN6RgD/G04ddZFSyUDHFJea7s4KdSNIU3Dq9dP8lvk1/6NExbj++AnlvcY
t6r2prdw6OSBRD64ly3/YCeK+dML4+nBSlR6QyW7yw5FUWQ9KDC/j9xpQEfsUHmN1d04VSyVe62O
leCg+H7wWhld/ypVpabBXJgHb8VoK+FG8j1U0uxG7S4oDGb7PqoiZ+W+W3IsQKOA+vEyB+8l3HdT
wTWYKqRMvazZNsahInwt9IuhvCn0XWp/Ob+pltb62Jp6utb+/5D2ZUuS6sqWX4QZICHgFWKOnKfa
mS9Y1gSIGTF/fS+q7d6KUNAhq+xj52lv2+kh4ZJ8WL4Wb+ORm7BmVz160hhVayLPQXHjupmlM3Jq
RnIpkUxwnxFmDBDpZY9J8NS1PyplA2zeG/naArUPEHKIUUHLOa/2JPSpAytyCRgZfVH9KMnKzLaE
3icRZFTKo8a3ABK51QNjiiR6KafEwPhfs/PqT8z2DfSxkA+gwkd+dqAdKrKnFJo0rFtbVufp9F5o
6wYECSpk9wW5FOLKmbjXxPWJ1hNgm+eGnWpqNACzMh96dj9o8TF1wwbwqLB7bRNxYOG4dpAQzKIj
AwZuEusRT+l+iorDSOzt9S+88EKd/RRpD5raSdGXwU+hvcFAiGytNKsEeLkJ/bZI9mah4vtZCKSw
cLxQM4RUt2WyhIAFeUyzPvPTgj0XKQRpnDLxrSy4a7XiN/oLOzGK55I6P68vdAkdfmpYJkuwMiPp
NaODWFox7QM9RbDjZLbfaLS51VkHupIyT/iRT8IuDkmkBUfdTmPM15Yi+h2MRNf8JmEGiutZ96Cb
I9/xzIHEJQUpnYn5/6B5jxJreOtC9OU9TqPqEPWddRh1PX3QOR7kPCwU+NIlF0ZUioYPgFwWxDAl
T+LhJJqoG4Bw0rrOD4Bq1x1h4Vag71BpSdZ1nbygIvNgpdupSohnDCoRjoWbCFgSoO9m7BEwHtIV
AVzjpJFYzxAQZN8IibausN+YocKsLdxEkFGdiz+oNiAklq/Xng/MqvD1xn7yGHoamH1ro20GeMV1
P7kY358PJ5oZhgk8jj6DyM4PpzB6dMScMfMr831AgknBq76qjVU2HTr9FdR4YIeMoh2pBi/FNINO
7tN4H4U7nfgm/tn1X3O5u3PBGtk7qLjwtjApFNJTPmnwnxm3ngHNtmvH3E+Hf77lQUpsQewIqHF4
k0xx00adTQYADKA1glpvvBqsD9N8G1TTo5fB6bkZ6apB0EIqUcBMBt6Dnt6NbqLYrcvLbLaAaJuB
qgcEx1JwaqVjbGQWLBSkXY/6az6tgOvfphP4qfbXP8zSYsisHE7BKQFJdCl6ZGwK8GXAVgpZu+ah
yWM0e5ssUyxowRnRESVApMEIcG+y6JEdWjb0vmCGja8WxFEjI3tz+xzjKemzK4C/x6hOqnWQt67B
PDJrYYZeY8XPjflMW34bGC+DXfoaUU6FXj7Z83gUQxsHYj/gn5cuHnT7CK31KvPD3IU4KwE3XWxP
9yjceiCAWZcT6H7G70OXbVIBQJT1fH37F3qd5/YlZ+KhZnWsqTM0JdxNV3VeNWpQlDWiuyn4XYt4
M2oUA1oI7wdVSW3Jy9BOwus1a0Pi3JxfEEUBWMqUC3wTZLBxd2tmqzlWCYbjlKj6PZfXHpb515YM
GYl7TARHMWyRqQGAFkQqw5HER0eF7lpcE8bd0LuYicnlMiFI+FBqZggDMMzkGXqB2ZhNO96lzUeu
bRWfbtF1TmzNR+sk7Bo6KtrEhi3kkgiRf+kGQuQdCwqf2t8n1JtjuimAQhperhteWCMyIyDKcD+A
dkTuZpiuEwubFjnwar/DXPPMHA8l5gf5wVaKsCzaQtYP90AFEf87X6PW11nO2xLiyKZA+2xrmlu9
BMm7aL3m3/ubwDkD0wkrFlCkcjRZNmNlhmMFW2LLjNsJetRiMLypVezfQjvo3JB05koy1iwdYKjN
jkl0O5Xbgfw0nfWAmqXdel1+RAtEN9+KYu+IdZs8Xv9+l5EjzFO01vA6g+BQLt3klpuGiA1zP7B6
AKIwCg+t6X5uT9rPuSh9kH0nqrGNhfN3ZlN6fwmueTOjsDnRdOPyjZEFO5scrEbV4FItTrpUoI9m
8XLA9BmBBieoHbGo0WuTH4YVrBra+bG+iZ336xt6mbKebSiVKhOIOUbIimBxuY0S2KERq4l+TIIi
5/YHXu//3RoeMuinIYzBHPd8ZE6O/TjoHYZdDOThRbwmGOFN6hsNhbekGjZV2wNh0Spez6VDeGpR
+niW1caQTIbyp2aUWzF8ahkGlB22iaPM05RR1KI1Ewkluh8zJZt05IF641FSY33NUKzG3AZdDeD+
Y7EyQwzbqHLmi28HGghiOQQIIwTDCA7PdzPozb5rW0ND99OHHtjMOhYx0+f6rcMfkUBd/3YX0c5s
DdJgwNsgDL14HqLYykUawJrmfooMg0v047qBC/eHAYCYwSkCeUeEVeb5crpC2NBXAoN/Dhgq6pdd
cyeKNz5CVg3aBZnYlb2Kl0FlUtrBNOuRnpn4RuH4kaLzB1rpAsyEKbCXn51j+a5qrvwilpfWKL17
Zjs1XY5apjcMd465IWaBYHt7fR8v7ivJhhSWBVM4ZXYEGxHuxSDcuD0oxoZVRRWHeckhkImheoHi
H1xCOsxAuYJ3OoadunxJSebXpcIhljfrrwHp7LKkGaesmA0Mz8jSDeNRyU2mWsPsICcXUmONhCcN
TDhRuIHuhzdRlY8pTMiTCYXBUemYt0lEzKPhm+4qvsPyNgFNbc45CIYLz9cQDCbroIKMNXDhgaO5
rp9M9nTdpy7hAbNTOWjiASGOOUL5Y9MGLIbAI81aVskqrEBxU68m99i1Pqe2x+z7SKu9qgWxnljp
lcKjF7cQQ1zAboGMAXxu5ys0woQl4F7XPDu4rbJ7RyiaDYsn5uTvS44Wdl3HofOOq23EECbp1qPj
6dNtqprEVK1D8raKkdAa59Nf1KmXGbtAVzWQL3MifKcZFGnP85dAB0uHH/Olw9QP+E4DSF6ZhRkw
L+R3NfHJuC+tFQ/uqn9ubswm0bajACHhMiCS/zFRNVWnY1UJ5tp0bzReKKBBlbW77oJLm3dqRnKC
LAbxfmzCjG6+22BLYd2v6wYWvAB4anRIILOODEHWWjeHMoIcCCZbKvFqoCZZrUa6H9y361YWTius
wIvnliCYMKQQgfAZ5FxPmpfSdY4iYVQnaNNE/nUrC5uFbICBBRx1EHRbJU8DQ59N2hzSc9x9de1H
PVKQ/1ysAiUPsOIDG26B8RbVuPMTGc0UuwCFRT7V7pL+mLA1Cf71e8ME9mdm+8Fgu/tHxerkau5C
oNLrPo98TD/o6RMlir8/+8tZw2H++yhdQEPIYjZamedL0Do9jLO+iPyG/Dbq57459NEm71dRrDB0
4VeSIWmvQjeAz0Gk3TeLCZOnh9j+oOlar//1k0OoAPxIAN8AE4PQUzofJMt1SML3mPA2fzfxqu1U
jeWFdZwZcM43LGu4wUag2H3Lvp+CDQZxSgCJVO2mhc+CKjI+t4W6GsYAJM9NgswIrGa2Ut2mAUSI
zV3TFT70HQbVdbzgxKemmJz7DG5BjAGmwGBFi20rDp2jeFmWVoOomSBhnUdJ5es4LSLatw3BR6E/
aOk5+TEQmDpAsS5ReNnFicfnP7U0f72T45KbbEJbGJYKqIzxHM0HFfHHwnYh7cZHAWICjSu5RNz0
fZdQYUV+hnQjeaVszWtFL2PBxWACoGbwJM4UQZIPA+4cOE0AloKU/HKoF5agXOdPBQRHr1+Pi3Yw
ADu34PBq2dLZd5zeLezSjXxNW3Hi83DFnPtJNaKw8ElQfwZuB1KDJgHW/fyTtDExYza1sQ9ZJEN7
ibPX66tQ/X3pk3dmm0eZgb9fJhuRPTTl7+t//3KXZuVslDj/5GMXN3Ac9S4RdQgwATebnRs0dw6d
xL4pgI+ohkjVFVw0N3fNAZPBmLf88XFVD5PLQUlQjWsmCpDWbWKc+lBTXJSXZxL1dIzlYGk4kKYc
yop0grhXGyQYm703IoGG86YvH1pTbMr+8/oOzpfV+RsDU5AOYuiOARcgl+6TykIPkMIUBMjcxyTX
h8c+FcdpTOpd0YnYN8f+OxHjcEzi4cd125feAU13kLZgUt4GEbgMtOpDMmi1g+0E/Ywf2PlaqHD7
84Uvr47i7UIoADAVehTn/h3yiqU5mykWrHZta5bn2s0xKeNvjT36HYrVNiQfv7Ao5JooT+OCwNLO
TXLSxhGm14FGrx64U3qNqhe+9MXwes7a4Jjx1mUDnW1m/A8M2qogocKhILAa3Ad043UORafeC1SY
kctbFTWcGQiAWwijfFSKB7uM165TAVQY5A8TelXVY6vKQC+Tt7maj7sO470U3Ahy/lSaRVs6Ywge
wPibHfg62Eq73RBCwzUEcehDh+HSClT1DKp4Ynv9g10e6nPTUtBQNoMBAV2YNu1hPxiYvWQYbn6a
/hkAer5EWyoeGWnTD40RgcvTST2WfIvyctOo2haXznG2GPnZqIO456LHYiYDGEXAM8A68CTcwYPq
yVtoQPSu7j3Ru4oL69JFYHYOicC/BEif/I6UvUj0iWJtQYphe76ti7fgn4vc8/6heoA3F9Q2lyjF
Kuy0brZRuazb9Zb7CzOm9402ljvEHZvrTrG4oL/GZEL4ziUJYhUYi8gvS19PuCZCqnC8y0z4fEVy
D9+OLKTIBEaodhPQVcduOBiC84xsavMgjPVU/jC1/64vbNHbTxYmeWHEJ3c0Ath0YzNf1Sm/tbqR
IjEutDVm+VRzBKp9lC7gTA/ywS4g8qGTxyh4qDrgdRSTESoT8ytzElZGLo8mO4zxqZzviMjQ9PTs
UBG6XlKhz59qppMG0mKGKM4/4sQI5pgs2ltYh+XeatD/q24L6jWtN5BdkO6t+MWGrl6oe1CDrqx7
mmIowzMbRUp7iaORfsX8cU9+hZuTEtPo+BUD1NWIZ0aDZ4I3N/mMhvsMeq59sGLQvutU1/Oi05ys
Xgp6oxryLqWA3ZE/mwziGTtwTa8w9n/dNxcPBMxAth29egxQSbssphY8BwHsaBR1Oop1GAz0VQG6
EwEgvNEMd9GNFbTNDyBDvG78MuYCOB9oDKBYHAfPkJTVYbzPGg0TtpPKOWBqbZWi9NUP5IMV9j5s
VQ41P5rnkcmpOSrjbQfbqYrRhOBPivjO/lUOxioMPCqeSowV1nm9iopNlvf7PlpdX+fSt/y7Tuz2
uQ+xWBejGcJwDl2jirB9GNcb2wRmEkSJ100tvuoUIhPILhFfXrzqaSuGNo9hy0E7xuvI5DntBN78
dDVC+s0qh/X8z2tB7hIj3eG3As6rYBNaPDOnv0F63tGza/K0x2/QbB68oETbHzOWI6mais7PdVBY
9Fo4bcFGNR7K2Kzvs6HeNsi/FBR+/4/NACL9/zap5OTUgL4QCiP4IToDDKNZde2O2z+0ZpNYmxDi
9Rhg7rFJKLYNquvrMtCGsxFUXMGtN+N0pG9eER6D+ajAFRmOd0SrAHlW6YcvuhVg4xbySToTMJ67
lTm6bgbOaGxz/AFWu4T8dOcx9C/EGZiIgMIHQPFoYUrPCdcGohVlPccZ1qFlxS5qMZ4xflf47dJ+
YewCl5CNBv6FgoCdlrHh8Dkk7HDFDoHzltvQCrca8MEEbWq+BiD34U0WAMvYfx/K4j8h7MeKBqB/
ychr0FCiuJ0Wr0bQIGIWBHUzVB+kK7hLNTxMNVrDicjWAQmegGPaNVMFYTQINgXxI22ztTVk6zBV
RAx/ynLyVYUkDQXhWaQG0DXp0yZgHCcgkfKT8qFmwzau6fd0TLyseZqMZmWE0S/IOsx13A59vK58
bzheob4298JKEKiZHnPfr3+h+dDKPwnfxUFdl+H/Mox9tEVVNSMcOh4gsdI9ZmTcgvPAC4LhrsDA
a5CoaCuW/PvUohQ3lVB1GMcJFks+VRAHoyuhp+8x6iaWsms+b+i11UlebmjNNJg9bCWIpt0+9uzy
rewVL9DSe3e6oPkMnMQStaVFwnBhZMQVzHnlxSHYow5BhORnff1rLSUlp6YkByrSpo3AcZj4Avg7
ka+hKmbHH0ESrkyISo1h65Wt4tpfNglOeaBkcRsR6TXnfRknkMLGZRtUsMT9OjH3o6t7LXPvAgai
ruw+0SYFt/fSvTEr1WMQE2QNoLA731Mtq60xMnAJEgrIre3cxaEqRlr6bPN6MIIw16BkREVR6jFY
jRs838wey4ds7HoA+3BhWKs4LUEbETbQ5hSQCFI85ktOCYEYULCjgo9MXbqA6jLDS6p30AQY7xOy
aaAD1H/lEQG7F54Ql1K0hqSvpjdDn8dWDxXE9lOb7sLoNXZfmbO57o6LKwHvjImuoINnUXoNJ3sY
U7wk8A0nfm7b7o3XmErpJ4XXLz74QKLY4H9BLfoCoo3xoyDUhxEhnntrRWuWHPt8M9bbun3QrXVh
rAlyBHZjdC9fWN+JXemqigajjfpomq+PfOMmfE+qpyLTFLu4dAWfrk7ydR7GU5jN8kSRTUu/Jvav
2ejOjWnum2Vub+KyNVZVnisgF8t2AfJBcw+UEvLJtvq8IgK9frD4ZH6cOcfOZqtx0u4DLfdyQ9sw
9vv6fi6dahzm/7EoA9CCJos7gsEynxSh7/A7t1VhIxdf91MTkksiuaEVC2HCcQKMIuNkraPwIey/
lcxHe8mEhFnQKA700hX5B0xvoJ2MMXXpsAVWaYmJW3CTDq1k6x2Ugf6Q9CsCVFNcD4eGZjd6P+6v
b6bCqryZQGkMCaaYsNLhfipB1f9gRm+19iDorq78SoXYWjrrJ4uUa5cucdsEuHIg6jjGeI4RwcRh
9IWTcGpDOm8Q8StYaMIGTQSUEj2LRp6JinY9rsYGAnQKc6olSQdvzJxkrHSYs6PPFNjufFgrVT3+
PCNSCMLg8HP3f8bryG0BkoRNJfCG+i2IgeONYXbhO6T+2I8YwN2NWxj581A4yZ09NPXkj3Wo3aO7
i7ZYn4T9TVSl6bGxHBA2X/eehbXPhLcm1P3Abopq8fkD6+SYy2yQvaIAsw/Cg7AHz+mUA+BzV1Ve
/JydI2HFS+7K0HkoT9YF6VAj6/vKutGcynwIM+uYDj1Sttrdjp3ZrxC+3A7gTfYiXkyKZS7cODNF
BQbBMGqOKVjpOmAFUh8wImOZBDNboJ/CY3F9I5duHJiAgBnGzC2A46TnPJyqoLFCxGQFO7rNbhBr
p/BT+51GOqZ4tkOPZFjRaV76eOgxgndwphG+4M9LGckaWswRp3aTsq2GuBNDqNfXtXC9sFMb7NxB
akMHYqnJcVdXK1BTDOFqym6D+BW0lBjab78QSoDUHS1IjJbMkaa0i0KMIWsJ8tHYONDoUA4fTqyI
KRd3DahWpH7wfIyVna8oq2gcRRNMOAZc/kef3Y6NIrkEIdOCx89x8kyCjD6wTIPR8KEeE3CRY0on
rl5nQcjvlp50b5CNKUEFGJgfqcjdfRBz7c7OeXPgmZGtOYZCdkGhR/uQ1807HQL9s+JFsNONcNpw
zQqRVbCCbIsuDDbg3W4POps66k12Pr0nIxjOWDiksdcNVC9BNOrUq2zk7W0Tp/pqFKz0Y9Gat2K0
tfu6CoYG6jjjtK2MKvw0uZHesqwtH4NSDDeUx81DqtUtss2oBNNdkrmgI2pFuAp187szJSCrzqkI
TOjClc1L28bxmjZdfGfZtSVWsRWDkKlEhxTD/JENbsAJIjZvDQOZDzauf+rKKdwbVmWs3QCBjte2
Dt1F5VCUKDlX9U1MyPzLAr7voOOxMqs2h3YwjUCW6hb9pmJWvdHz3s22bVi1O1QZ+z0Lsjj09Ski
r2E6OYeeiQEcD0NO4nVA07H0aKbTG7PUg13Yu2CSKoUuhNdiEzc9xLlWFnBamP9jmbbr2jTGqK7V
uRvOunibTS77L2ui7IDqo/bCk6z7mAInuBdlT9eaEZEWeH1KUi9GN5SuIMhKgSvUE+MbmUwXbe2B
HdOsNT7btDZ/0SLWH3o75euiNmIEzBg5SFdaXqTfsoT1Ffici/RnHljDgYPY/o0bXbcvcmPy637M
bvGft7eR4wB4ntrkNtBGA40VEu2dweS3ZmxVq7qY4tKrUO795lYme+zz0OWQQK5JiQEcJ+03QRaG
6RaD5Oa+MEXzmHBSbTCV5jY+J2Q8APDVf9hdpKPXW6NY7EDleNtjOK72KBhtHxyMZtylQcVLsL/P
dzg0LZ7DJMufinxixYqXUblvi6p6DymLXK8y6v6TdhzA0dQYJ+tgRmnzHwc+csOntDwErU5e8rYk
wR7yrzGYAc3pEWpH+SZLRsvXAs1+tOwq2DeGsPRtRwMSrqu2CgyP5ai7+pQnY7dNhRge07IbO29I
3eCmt7QMk0ZauwviUjM8e6iK7xjUiV4I9iXyKrDUPoeGJfJVbnfpS8Hp8GyCWu3DLcEiG6au3ni8
5PlLTrrq00pRUcAcEcM4SJRE1beiT93HwA0F8/KSEHCe0+zo9EO4nlrMeKeF6F/MajRrL9Tq4vfQ
9cPaQEPxxWQxBlpSB80iLzMLsEBnsRs9kySA+FdsRb0XIjh/MUdT2xRBSyJPL/QUmP9g6N9IHfb7
IM1q18t7xo59aQZ3IWlwgAvdGnCKAGaMsrI79n2iv49APnlmUlH8dMsJMrDxFvZdViPBBnWONeyr
INZwdbA6GaHoN9UHWmvJw8intvAgNlPtK4clm9xqUC+zpqhG9cEaMMvBk5/AdfWvpe22+8xJXTS2
UQS8z5Gj5ZhQilZlXdSfoRNEd7gN25VWZ+N3OzOrzUTB4kS6fIg8YZcg5JjGMTzGXYzQ1R1ZsK0o
z54HXNcbnQuz82Ao3BduWW0A9EhuaVnwJy0Yox2LiIXjkIATwWFRsw4JGPXTceo24IRL3jNXaB4d
o3YNzgp7B8oJMMmx0OpWdT3aKPoZJjAhIFANN3S0IQlJq34d85yuiy6x+m3JWO36TkatycMYsXC9
HrxzzcqMRBohKavRHbZKULR6HUjF1hjwb4hvh3ayZkaSvjiQjQeuTQwaJOOpVY8+5m2m0nd1kfwG
TTxmKYeiat6qwg3WI6nLd5sGza6L0mQDHgbxTkKt2VXQSvZrrW3WtV2XKzJvepRr0zdqtPrvniaO
Z9tJ8QhggH0TNq44QiZj2htwRHCJa5FK5GKpFQCOwL+vnBQ9RrE2Qsgr4GBSeJrijY5ehGG/m+43
Hf3kifla6SXjhqqkRRajuRkuOFMJoJgsma2BgSqMuZesiW0FNvi0VgErF6OeEwvzLzip5YVtaYag
pkBTtx0/SuPnTLLv6hC8ICgIxT/cNH2gjWroezGEpDoGsV3UygEgmzP1E6uVsHk7aAgakhn6GO+t
btNmsQddojjaDfG3gP7klSIXXwpUUNWzgVRETQUh17nNWESgLp7b10VwF8dezzZNue3FbaBK6pbC
rlND0pZC0Wl0u7mrrNUvbf0fCfetSm5wyS9OTcw/4WT/eBXUUTx/tcneD5kFxmPy761xhgIXMjlg
vGba43MLBYBs1Jz7b25/7Met7a5dS9GTngNqOVcCRz6GSEF6wC5g3IbIhG50c8t2cm56Jz00cQLV
yRg6subqemy/9ElOTMmYjNq2RZmlWE3gPDv0AYqJhgraeznJDgbRUxtS5kUQ5eVuBBtgJPTBQIcQ
EZSZk76ygxosK9qNCWRh1DEoV2A0kICKKAMHS254CR92I9T5BmRsjf5hAyRwffWKjZbhQ46dVIGY
kRR1uHbJW9+isnAIVWCoJZ+ExADG9QAFNi6UwFmXChA9IPM0699J/RLVr19YxVx5BUkAKOhlHSxE
QSIYBbKZzF1XlddgygR0j06uQlAu+gquCKD/HQwcywI5vclRvEiQ3pLgYGq/qg6MTYoWg8qEdEPo
kJuGPDtMtM6z28UYkVjpKrlElY35359cEUVSdw51kDI7xe8qWSfF/VA+feWL/N2pi4wZJD5lj2WU
CNcq65tTfASZ39eq/sGiZ518ESlVjg0zCpkFOznUX8gr7xR1YdVWSa+RViFBCii2qsrWFaQGhfVm
/DM5/3w7nKxBuk95YoJTrsQaGnHg7bfafU6Cx+ufQ7FNfx7dky/uBjnQ4DVMmPS/KIXwRv2FN2EW
fQAyFfU6hGDnLjXqbTLqGXpUmXGIISOIF1v/Z7mWeZ8QtmEMD3yurtym1x3NrNwGp3zMAGbpHxzt
sbVuQwDYmeJWXIoHTi1Jh7BC3BzlGFDyR31Lo11YOx5lj6AALv4dBTuviUG7b+Z0RcnnfN9Mowyq
nMNSZ6wcejfRTdd/5dtjJgo4fNRegTM/N1EPEC4yAjTam/LWcguvyb5y1v8asKQ1pHlTMCeab/fu
Ne83LDoWwZapxpYWTyIQVBiQBvYa23W+DFuP80q0cw3O3vbhRqsSj6se6qXXEIyjmMNAGwgsu1Ic
WJQTxmF79NYijJRn4SZhoweWLoOvrx/HpSYeOzUkORgkmmuaNbMh0ZQ3KColhxxFjbXdCPGAic/A
rztQx3aMfQy6IVZssjYpi4kPnmFVxL3k7HiX//ghusemFJykDZmKycTRtZONbg4Yp38K9WMDSbHB
UFQdl66hU1NSTyMvzQp1FZiaAb0xeewhznF9Z5ctgLxqngbDhJt0D5EUROV8Lp02YlsWd6RTHKZF
D0EF/3/+vvQeuDlYuuoBf7/Kf/KWr8Ic1RLXXpNYRSr9h95GjoGR2mHoCKEjMP+SM8IR0dMCh5nv
dAxCdRaSH21jhWBWRM2qmWxAvWzPDKFLkxQ3ACzfjaj9TaJFZazzOKiACXiI4t7dtcZdG7gofCn2
Yik/PP2BkhNjOq2d2nkvWu2bwx4idsiidVRAIfRQlTuiAl8sbv3JfkgXAGqOlgs6IHQW0RATceOx
csRo4S5Egei6Ey1dNacLk4KX3OUYHRmxMA7AJHlttDtdV9wAi346064Dl4C+heynvZZbYIQA4IKb
N1FiIPxWdX8Xj/VfC/L4fZynbgFMB3AC0CxIxYuwN3n6XyputEwFx1YsxpWOdeCyuq9MLCaKy13B
4xvoae2+8kn+d7/kDF0Qcxx4gNW4rN0WpEddLfdSO1V8FtWmSS5ddUlNjQBffsQIMUgx7BzkWsmK
ds89T1f/f0uS/HkswaMIGi88mw1dseI1Y5jtdhT7tnxG/+6bdB8GuhHbrsC+hXynAwRai9uxv60Y
Aijo9xhbl2yur2r5aXMxTA76c7AvyGjrko9JT2mL5yS+ibNDMNynwB6bxjfIibYg8qEeNXx0gj1k
il85tzMyC7V3gvE9aUfzYUpQn4bpSBzyNvJ1FPojlZbK/EcuruUTI9KOdjQfNTafXNfZcntbZwKQ
fEXrbPFAndiQXpkqjydrsmBjAN9MPpMatArnU1mQgsKwL8tY02ABe+kFWuF3KlDtoueh8YfxLvuP
/MJ5vFZAIYYVGVBXucNfOK5UL8ug2wYmV+bboEAC0834hM7JJ9Bf+y/44KwqiWlayLdjnvbcdpX0
gjvNgAaqFT5mDsFwz0svKtSyy5tO2H4+6I/18H1q3oCLX1Ptnwk7kamAWheB6jw1bF/UCTRoCNUG
1p5xIwGHtD3qO9ppFlTqy+TGcQrj9fqKl5wSWw0RXQw46MBjny94iHtjpkKFU0aekYBXPr+fwlFx
vJYux1Mj0rMI20NcUhiJyI/YRkNnl1olUskX0b5dX878l+QzdmpJOmPDUI1h1yI8Lgcw/4HyEQNG
vokmEWner1tSbZx00vCSsBSNGMSL7mcY7uzk2bbX100sHYR5Ah5ckeAIQQZz/m1Ms6pE3ANalgef
dgztHPSfS3Qkda93P4m2qcLv1w0ur+l/DcpgKCdtgSYWMGgWZM0G4BUgyZuhCXrdzPJH+mvGPF9X
WVhGbebzR0o2LF9TusrTZ0K/cFGd7J6c9FsQhAdrO6yQ+r+Mb7tSUWleughP//78708qIzYG1QeI
GCElGSCOBuFXrnqVFr///BqCmwIjr3J63HGRghLOAE7Zfq6b0efDW61TNBPRB93HI9pEqmHhxYMK
vCtGGjCCjwnb8zWFTWGjZgWLrnETB5hH4Zs87L2+NRA3b657weL+ndiSvMAEhbZl1di/CCOgGgNm
XnEXXDIvzpfpiQUpD8qdMaf1AAsVEJn8UNbPRfhUUz+vti0axIid+cEIN+C3xlyXn+eKjHIxoLGt
P1TpwLBcBDRBnzGjDeCBWmT03MvsbnylsYaGc82dAsPRQY7W31A9pTbL7hmGoAp/xiDcGpjvAzMt
DWvFni8ecIxrYFIBRDcXxNe2GfaVCAh+UffMzbXoD42ruLRUJubDf3IsSOaOVZxSoJm5fZe04FPL
+V1eqzh+F8/GyUqkix63b+fEE8yILm2Olt0XCEaMAx9ithIWPzhuCglxHh5pVaiyvMVTcmJbupf7
po2trpxtkwLcSps6eS6iLXhxMP7yhTPy15JMZMu56JywhqWosbya6l6jUmdXfC75xNuksO26gIWU
IhwtNyYAPzRTtCYWj/rJMqSj7g5GCfgK3K4z3mwHNp6vb9PiB3EIWJswHwX04LzIE5/LOYf8TYVe
VIzqkG6BKnvF01steEAT7LqlP81xOcBAZIs8ARcLxg6kpSSpwVMyD3KAHsALyLHrfqcBKBDvNAhD
NcW6Jzs7ex+D29J6QEvuuvWldSI2xOQThSwOxi3O1xkwLecQxMU+cvFZR8CWDx8Al90P1gtJhOIg
L50wTJ9ipgmzCfRC4a0okCY5M9DPpDr4fo4Z/z4Qx7MKP8qPXbISza/rq1s0COoXDHSAn9OSmX80
CIGaZdCgTOMUx1G8C7BVOMNd5PSQsA9fpmxcQShasaVL/o9H1IGs+qxALbekbaR9dm5gjCShYLCD
dEN3HJU8UItGQP0FuAUwzKAdPv9urjO0KC0il66p2Ihg2leRvhUhU3yxRUAJyJMhh4ShPNQxpee7
7s2Z9m/OHuL0dqzvJ/DFRrW4A6vaGljXTVRFDxAxfRq58N308/rnWzrkGFcG/xSGgRwUhc8Xydwp
Z5WLIL+CEqI23HTFz+sGFncRDLhoRqATjDrquYHEpNWgEzyndjBt585dqembMHQUHjE/UBcn/MSM
9IDpBBqk9hyXQIXXa02gdLNNy5/pFwafZy3y/12OdJiNwgAXLXCgfoCYLgYOJ8k+KwPze6qe1OK5
OjEkZSqxE7C2BIGOX5igl3c/KWCc6XND71t7lRfxTjhfaOk5gHExXB5oq8tUemXfunpdoVgfJodx
+k9nO6P+QncVqsRo2SPAskz52dIImHS4hoKNy7lvDyCpwBOpKoQuefSpEemuZ8kELqIcRjLmPOis
fXTzp+surbIgXQyE5FkBMTmcGUjnGMO9lSo+xWIMit6dNU+wQZhe7uEl+hiHfY1TKZxveoFZoeNo
PmvtK48eQboc3Wq3KKZNX8nwTqzKmUuE2DO15oS/TybAY96a2vZKZ6VkxZ9dVz6rp3akCy+s9X4A
RVTiGxXLt7E5PnbDt//D2XXtyI0r0S8SIJGKr5I6TY722C+Cw44kKufw9ffQwN1R00QTO8C8DdCl
IovFYoVz2tV7sNdfBeb5fCf7eXnHZE5oK1G0iTKjVVbhMGUWBhM4xcDwlP1nEkM8XLZCBLMoSEfi
NoJao3cAiqwPWl5gkFIVJKXM023FcOvchE2V0010diCmxgssnxe/sH/207HWFYMW0s68rSDBc5uL
kTuEz+aBrDWIlx9rhA27jeonEO+BsAkg9BZBQPWJkh7GfAHAh6QyJsXFDIDHYtYRfh3mo37Vl87d
qAT359stGCBEeBxwE1BUf3GnRFY1zei/hwinuWv4M7le/TQZ/IJRTMo0SNZcObQMJ+ttjt9IrUJS
kGwhKoq2a2OCBSOqIoiDPQ5GkRJcIjoQgabqwNCloX+3VADZEqs/EyPciRj+jc3MgZi+RxN4P9/3
ZvPel3p4+XBJjvOZGOFK7Ie1GVM+S5l37BZMLBjL9rPH2fFu2yry0YuiuOolN6ODdzCqaJi8/buW
xgxNb1iHq57ZzReTVLtkeE8izJ1PzzAp9BT/9NLp8AkdNzKF21gztclqesJdVtiuz2326PsU/Nus
V5TMpXuGdwLiWhuohCI4YN21RZxyQdMCpE432Y9rcdWssQJHRCVG0IfObexMOsTM/aGxH1i3z5Pj
5SXj2/7XIQO/HZ4+IH1ExHTup/qoAccYmueDcUKvfrrzWmRxMKRT+P0najSgr0KPCGCZORKlcKF4
AAdGUAZRczKFg32koM/OVfkD6ZKhUQS/BqJfQDid69MVFGMSlossDEbpgN6xoEfTihU3v+wsGTpa
bRGKY9nE0cQ4nokWDxqmQJlxiBKkwpkJ0DpzCb3Rw9DLjERiWil2SqaZgRFBgCci9PtrpI5NdoKZ
GeBfJj0olry2aELHG6d9SleFejLHt5UkeKR1dWwMJkC9xDMxoWzelKN3ioE9iJvmdNn8ZEoR1NvR
uAm0kb8ewoA6iXIvQ1K0nkEPqwNNjtm7pfUU+WSZlRMb71DOW4VXnGDljTN4eZUiE+NlJRgwDuCP
TNxr2/EXtr+skGzttpKEex+UcysmvKFQqe2B7OHbzs/R2430+bIYSXALzNAPhfi6bsILQyN6jP9C
jLXeO5N3qKpa4cDlmnCwTk5r/hfGfl7koP+iSCwV5fuCEXHvqzPsJhVtl9QAABf1fymCi0szgzYJ
z5oO9UM1nBZAksyKW0EmAkg2SOxgupnDnJ+vVVoU3jDx4fd+uZutLxogavVOsVgqGYLbaeepxV0H
Ga65N+O3yQCCmYpLTuZ1UDv1AKgPji3M8Z/rMeckA5QYbgNML/6si+RmpGA9omyfA4HUalzfBX6s
f9nOZLc4nyfgeTE0g4sxkFW1bOpj6JWONYZs7xgcdlNUPoB4A7veYQIT/LeXRcrO6laksF1jTfK4
1nFWm8K5Q99HQKbi11gbu8Jz96NTKNyqSkNh58wWnWmRjVVdqroKenP+EdVad8rH7q0a9W+6F1e7
KPXuCvSDKRZXvqEfiyvYPsj6sjmvsbirY8xg40LiCpAsYwjuhx9zFX3TK+MWJACKNgbZuUbOEbDG
yAPiphSuYdCxkKXWuC+crvFsoHPmr2nQRu+Xt1GWMEMfFSh0MJaCQXCx78PEIOOM6Xb4D2Lf6pkd
LLkdglHz0Gjsusi+9W5xsjCHaMXLMbaGX5fFS62IJ7KQQQWkgYgGbI/j2AIKGcF79avPChhOuifx
iCvtR6ExxUZKl3QjTHD61NLTCKhgSMoAW6+2v2RrdvI6ULhon4mq8XP/qiX4AAuTeMxuodaSYKBa
d6+d0kFcCI7rubpnvR62Se+7q7I1VqUh///mvinxSYDJg9yE1UeStwGzBt/CVAewsm7nZQnQLvcQ
j4CDYfoxGvrnorbvnXTqQQOdH5ps8A0lUqV0i20d4EF8ih1QTOffhGnavJ0GfnyQuc6TvQfcdDME
1IGvAomTHtSNJEH7yWmBgpFAe3P+blK/yI85iiEGC6O4BPOHwnSld8lGmuCRqgUIBJTrlQLBRF/e
IuRJDZAQXj4gKimC80mmzNKsnFuShX7UHSY/fURjCiFS57pRhf9/Yza0t4bEWPgWDf0b9fqbZLDD
MfqCabidaae7NPlRolf3smay2jRnG/m/YYhMCmxMWFNzqbOV72manoBYGRhjuRud/ojoGeUVFgIU
42kc6T7R6p0b/9C1+CFPTpe/RLHGIkVw32h2hGk/noYmoZkQYGOmh1pT0ezIgkGwOuBhAMBAICYL
Ht3Ju9ryMrx5YscCk7x9xMD64TOafIgg5xuJjucU0PfwcN0YXzEnQTNp8iVaV4UYqZvZaELPxVS0
r9x+gSbmEp/arr41xiejdNEGYissU1ZsRA8c6DdNjGCgC0hYNNPrO40mHqJCYNKB0W21QLXuW/SL
Y77N636I7q3JL80R4A+7TjVxqpQurGeCULUzWyhKkFuqzEc7uUrcYKqvgfGbDz8xkY3zCBj2kaDN
atpd3kypO9uoLqxy50zN0PI3cpUCoYwFq32I0yGMi9fSA3l4cFmaLEN5ttLC7RjHSZ0UeOUFyXpn
jbsaba7WeFjTFnHVE9WechLOTFEVlxoS73DkB4L+NduoefmkexVk1lFyKtsRIOzdrnS1wwAVL+sn
vYY4oBcG/E1kKwVDGherWCKC17KVgBQTcao2mIccL4zVfMO1pXApMsV4f7oHeh3g+YhlyKWKTUsz
KwT81On8Nst/9403BiS2U38l1utl3WQlDtQ8dYxWgMudgFbh/EDGled2ugVx6FQzD11W3/RdU4VW
H88nACLZh8Gmv/q06fzZHaqQzsDwr6P1ubBrFSa8zJnCqaM9wMTX/IUHS4qezoiy8oDl3pU5NIHZ
OLe58pUlMVdUvvhzFNQEnE9buLN6Fo/EpSOSiOmTW/6ox8cKaL0LSHJsVOd3nQZKLkdhQ3/vKmQi
NYb2WAqKFrH8qrkkSasIMlkRGN1z6rbACD5VkwruSiWH/39zHztkYGCVREp9cYJ+eF7KPRiyW/Pr
ZatRSeEnZiOlZhPg9F1oY+Wjn7gY2jKeTR2V8ZfLcv62CL5qME80ueqeIxpnkyZgOui5NvnzND6W
+n2jwu3/+3CfixB8V2LVq+dxEbPzM3ZORhvGFdoZ3ldVFeDvOxwzJzoB19sfJjOx/aQHYIm28F7h
uX6MW+9JdwdFzloqAQwzJvJsnB9FsGtqsCRKIyTkhzbo2VeT/meXy9E8QYcIfDxOhiLs+pDUSzf/
Sb47rx3d06jys+i+xEjQ5V2XWddWjhC4krlED96E1JddhHGe+7EDQCUUg0yFPrL1QukJxR8kjoCa
Jvj1oUfgVtvITLXePan+ySeiuhglxmXBryKcd5BZcUT67xaTEOVSIjwcrBoE2S86GD8Tp+DgL35b
3Xreu2mzx54O+4w96mN3RIHjZSA01I0WaFoVfESjehZIv8kGUCqFz+ckYedntx3AcoZRfoSsdn4d
rcN1mxoH2lj7Bba/rKrqpUwcuERg+sgBwmz4Ed+4iqoCxsPkYDPbbq2/LU4EoJhiBbloUOU5yNjZ
YpjANRnA31iCLDn2TXN0/HV2pqsYJCE7b1hz18dEaFWCosHliFps7F4jJJEerGo0VSRtsu9FncQG
yayJ1gixGy5axwh5ZCzPgveEH2V6qK3zlZtWN7PW/y7TQWUjfEz3vD5DQT0HBmJiwhRRcD1foAXU
uXPs8kBRa0GT0OnhRIcbzHaFzrqEbeMhjVNg7nY6oJVRtTv8x/8SDlswgfnBEQoF4Zjc6bRhRWgz
j17YTvpR0729o6OT1rL22kBf13RCyIN2WvIy1rEiUSU5gJw9HmRlnNETbUnnqpfwNWsRIYaz4p9T
4voEGFb/2ZWgketP4QEwGBgSPZeQj/Hc0DFC1jbamcmpMa5nACSVb5elSK6pMynCkZrLxAD8IlZx
dE7tjBHb5t5zd5dlSB4UFEI4VA7OEdJdwmJ17ZqubYfqUGnN+wzDBn4ce0bg9MZy6L0sAxPDlIV5
BSDumfXzHTrNkLwxJuuqK4bHsV8XxRfJTgpM1wIuIE9YizUymkaTiQZAQKOSd1QS/MK9i3TtYfAm
1CrmUKG+zFJhosDxxIuOwGTOd5KOHcra/ElTGxHIUoruxgPQ1y5pqubbmNpsj0jhvo9X5w6A17fM
1RyQQmQKg/2zyOJ5wQaA5tTAeUWP1vlXRJabzGMEQIq5tqceI8IF1YPYLswXzQNETp8NLUDe56xM
rtHDBaNLWYYypYEh85PjsPZlphmAqnrNMX+4Y0xD4NmuA662IrvSm6VMdtmKX/K73u5eKi81wjqq
OdpZ2S+7eLWLV2L3FsexMV703tTem7JrDh7TyBcrippj3i9FyBJzvUlSs0AlJIoSPwYu2sMQt7Oq
UenvZyb2HoEZwnXENbZIY5DNeHiTscwDl2DeizgPpfWrRxkhM1qgc9L9rGpilKScIREAAfwy4XV5
Yf3ZaJvT4OC1Miw7z32kcVgOX0vnJRl/gPAuRQ7GvjWV9I2y843LAJVZQLQDLlM4elNOFgs0Enkw
JQBXNTizS3Zvt6aiGUAS9+DOAR0W8tk46GI37ZQDLy+d0QmdDx6g3E5p/Z25b7azv3yUZOcWzS7g
tba5RxFzVlPV0gGzPXlgutOOzPnJ9rIw6Uw/p9/i2VTcb9K120gj5ydmHcnIWAtp/QoAcUJ2ufPQ
zIqVkwsBLD6akXk/irBBJMnm2PHAPTgX069ptucH1xlfK9ZXijKz3ABBnYHyHKqzGC06V4ehhaed
+Ou8iib0nP7sFnTWXK+eH8+oDO6IczViMrVWwUTz0F30O6ZHcdjAZYQJTiG0d83eiewCq2j3r+vw
PNdXMQP4gJ9pr3p7NFRvFUlWAJMAaNPn1AcYvhHn5AcQ+BXoooON9K+YW59poGdhlO76zHfYG82D
GFLtO7c+XLZNWUSwlSuE/owAUnByoafb9YfUmY/TopoLk5k/fyNhMVG3+iuX2vZTT3IAnfLR7Lo7
NdNxaQreN1zZqyL6kJnlVpRg+1kVo+sNEXDgxmCfiu2ja+W+XuSfONBbMcLVGLOlWdsEYiIMFdfz
w5y9eUUVRMvvBOiZlzdI5vLRSwTSHg8+3xT71Hm2vyunHicNoxrek8c837Me2+h5AMG0rUr0E5k9
2HD2YDuigDET/b3RaGPTUh70oI+zN3yvfiYrdm6nNY9d9AWz4Jp5O8Q/lioo3CPN3rv6LnFqVG4O
7nitm79brfGL+jlfj6UdpqUKg0dmTNvvE+zVbjqaWTHiAUBGM90fl33rPNLuZ58qIo8/PdmiB8CN
B/QavFZxCwmOh7ZuZyQWVqIlCdq4DvmCagYHj/X77LGxlzAxqJ/15S6vcPnm32sKOKAgb35Z9Cqb
v5QuIEfnQLcf51jh4aWR6fbTBDMfSE1R5sUiNMU10Kiw+DukhloWUu+FFXubhWN2rMDBFhdh+d9H
sCjmLSEe/VLAWhLfEE2DpAcyUSANBtY5cqd+ZAaTijJP5n63QvjNvXnEZl3tlRgwRABgfOt73+oP
TrGnyctkHYvonqgaJGSBwFYct7qNuKZZrDhdIM62WODavknvZgzLearXkcx68dTXwQyAzC8qvOdy
hkWzbKOCt6XZiInDU7s+JQCmM40fuQp1Q+I3cF3+6SNGdxtyeueiMBjLitSEqJQ923GLcU7gEVf3
MbAWaYCBsMteSrJfZ9KE/ZoYiXNthjTwpawNMB8xn58mpm8TvzC/A2cXLS8Kxyjx9WcihT1jGEQu
rREiSUt3ej+EU3WrqwxDsmFnQgR3s06MRS0PpuKp8Jv8CgVHLKsPpPWxUYRURLpjOE+YmUWqD0WW
8x0rSmbm5sLXMH9O59OU3vUlxZBeaMU7s3xJmRkk4++u/J3aN9F6dGgbTqbtU33vAoo8PfXxvo3y
0Bh2mKwK5nwA0uYeEUUGdrzkfvL++yWIasnH5wpLA/84lCTF77foUfDQvGS0B6f5OWnuzvl92bok
uKKcaeFDlhCNtS5mdFYepUTNz8oKO+1rinSo1/tZctKXXZvua3rjGTtSPfRAZ1rKoCFPnvWWF8mh
Vl1BMve7+RqQSJ9vFJjLoknX8TUelhmF1RgksIGV6X43ngBM7kfT29DOB8t6KItwmj9RcYB4jM3Z
FC8zzL2fiwd4Ne1mHppGzcPsvZAVLSLV1ZwoLkDp+foQIw7zamukeV0KMWX3lrZTGNfHsik/c4g3
QgSHaJlaMqOtCUupfe+Aiz2kO1sFFCzzTbwvi89VOECgEs6VMcxTnvGydGL/zKPTmoMo8tQ6AJvN
rqvq6/zlsrHK1g1zvaD7Q9IIrczC9ui9jv7eeMG5W3aae7Tc5/UTVzAfHf6/CHFrajKBrr2GiLa5
zeNvjb3TSsXplmsB1nLMtyLZJOaaAB+/9lSbcH2sx8X8qrObVjVNJhWByomtI02ISVNhX5KRGO3q
QItxfkYX9JLdoOp6eS9klUfg8H3IEJzUYoHrAjQjsK/2bf1uIufeBZr1D0m/D+NjjmvRGgqFTLla
eOdgJgovSDFt2NT9YFZopAqs9hTH7ymSR/THZbVkNwXKTf+KEG7byNDdAql4oLRGu0k7Igi3Qlbe
rd6OdIr3t0obYZO8Jc4Tc4AoD7TrsXGc0u9oj76sDv8NIdLGJn2oI2xSNixTZ+iQ0aSLn+a+6XxZ
3ML3jGuqKhDxlbkkSjichtO0kVFD1FT9MrSrvHuvZzwUD5cVkr3mkS8zCO+PRpAsPtpWNoEJBdxP
wYLoDj2ToGwx/GgYr53GDiLS4iVX3zkuPSxWdJs48WPSKCZOZU5v+wWCidToggUYA76Auqdx+cce
XwhFifoKIDyVu091lcbcUQsLi8kyiwCUDOPcQC89v5RGb03mybCQJ2xBo5L4efrqVLs8uprN1Z+9
rxQp5B5vx/9+f2D+AF3zmMEHw484WJu1fRMBRvSPm3LdsOgP47y7vJmSlcRgDeeRAqOVBxCFc83q
wqnnJgUhmd2kQe/ubf2QUB/VN99KQwRaTJXyktjoVuAfn7Z5jNgE/BL1HGHrTObnrEYv8WkdbhhV
1KIkR/tMjnD3jjqG0c3CQ7IE5OuugwT27HefuODPhAhPVacerLJEWBokGIbyooB6XycVJrPEfwA+
AGlI3l4CS+D/3yxYZmtrQTM7D1AWvemqAexV7Lqf0l3F5zdHplg3ifc9Eye4KyDigJ9Dh83l5HfW
pH5KDD/XduA9d7GWqqlQlTTB/FprQCRQQhqxw5b9QCemb7bHOQst8pgN75dt/W+TMFG8g+NBaIlH
iC2opuuRXQ4OOCmcrkH2AiSGo19W+8tC/rZvCEEdHCTUqIkD++F8u6y1QAV0jlF/RTXaHMJGS/E6
fXK002U5fx9cyKFoI0OxF+GS+J5ia1zpdQo5hvGeAbkWZGbNVwLKvxHoTc4UJJYiYv7bDs8FCluV
61NlgA4YikW7tjyO3lXXfwOZlZKmTRLWbCUBKfx8CdEvUk9lD0mraVNEzVGU7p0+im8Nytg+9UCH
URdt9dtM7PgpMdzkYA9e9nJ5faXqgkeXU1cgoyEWaaLWa2mhp2j3bG47tBzn5NF1vs1W2LSKEyfd
yY0kblGbA15YTG9LB5KyqQ49RHCNDZqvGV2ex2T6OpqPZq8Ie6Q2upEouBTXjDAFTiERINzVtFuJ
g4bW+6j+RJUVO4n6GmqbeM3h4jxXzZyTEny6EKQ7QWoHltH54wh0Nt1vh/fIfNLTl9m7Q1/8Z/bu
X7GmYEBg1mWxXXL9DGAPAeFLe7C9Xent9EmR1pC6lA8FxYYHI24BO1BBkmburPx2Wh+M5e2yMvLj
sJEhXDKGptXOkCRopea4FNWuQEWoXztQzaXoi30dma8tp1GFE6DSTAh59NTRx8WAZiNZQw2NhfP8
PVpVGHcqKTxhv7H9yCsLq+YGktLrhD0P4DPPVLygUmuHmwRIk4u8pClYe90WVbR6kNFYfrky30XL
KcABEmS7Lu+U1GVsBAn3S+aVfWTwgzwjp25qv+Lm1qO7tfUbFWuUxGXYBqBWqEMMNLaKTVdaNOTe
6sQIDKedVd6Padg7z2N1h76FrAqd4r9bOdh70EJroWKAgoGwgiyh8ehmKZIl7MYxHnLrrfjvUQ7K
MRsRwtqlwNxk04Kkf1Y+9OShHV+bKliXezL892sMdR84JNzQKFuLw53NgLqHM6LNxI0ecv2ZNYHr
BiauGbYcL5uD7OCeiRKWDY1nrlPbWDY3f++1Nxsk2EFVL3433BrNF4PdxtGgeDFIbP1MpLCMuWaa
AOqFdshQT8bbqh9a76ZUlY/5r5w/h3jt7GMNBbc+Llm3Li4U84zfy/gDvHeR99QkT3l6jIjC9qQa
AfqMp2p4WUb0Q8PUJeD8Q+kYuccRvRhpBxLDGzoodkviiUA08CFH8ETZNBKa9ZATr/fECqP6ZVT1
XPGfEJcNi4YzhDoImo8Eeyh7N6lIhIb0iKAVU3+nqsyZXACAzYDbhvyc+JijLt7FzorhXrCFgVKe
PK9WpRj1l4pAwowXu9HSKLYXZolhTVCan9PfVf1kYxbm8qmR7TfPyP1fgHDbJb1B5rUskGAqHnV4
apLdO/lTouIClm33VoxgVi1rRtzb0CPpTmv5xWl8FiksSnIdcIapfzURLCqJuziZM2jiVl+09JsH
InVQbWZL5ucqLELproCO23Upp/4QGbndzJyMTkfJ3kpvzL4OuqJRbItKgqBMhtCtqnijCtiNKDIg
tYorTrohGxX4/zeRQNvXKAt4aP7SktfUfKELgHwnxY5IZaCnh49woY4gJq7iaC2bbEbjVTXfa1ro
Vje0eL9svrKbGaXjf0Vw896okbdxl5k1RNTLHShVBy800TZZ3zYaqJIbULKqpolkvpi46LVFORR5
cTEhi542cAVR1BiSZd/YXUjAOZwvoWbfwD83QLq9rJ/UqDfiBP16kHcAYQbi3PZmMo6p88Wh4dIe
a1UvsXyvPvQSnOU0uoAfWiFomL/b7NAgM2sqnkFSXVDr54NYvPlEuMbcxiswKoIaH61fpvo1TU5m
jI7XZ8Y+EXOQD0EiOWEzTENRNHD8+nIcixfE8HkdjOjAtBUjCNJF2wgSkg8xcdG/i9bWwE6+annl
YwoTfIAKE5B6aA/pf2CwYPZEtDgdrfIM6A4wceqbqGq1bqgPmNBVRNNSj7MRI1ia0TNmJDHEEP1R
094aLbxsydLwDI3P2GKOfo7Q9vyoVsxmZcR7j5oVrHBacu2yLKQpORrJdK1Pd3NZoj2NlI1fep2i
KCBbQ4oggCOQ8j9Bdg9kZrqWML3Zva+y3LfYcdLQ93q6rKPMHtDoxO8gZAddEXAw6Ue6di7soTIO
JPpnXO4XR5UDlfQwIg3zIUTEFwTu/gDkDQgZ6gA9aiFxbyPnm+kcPCsw0DBRPjHv0KkYFmXmsZUq
mvpC0RXBpXbldQoezvq/D6VBLQdmAUsHoJyYu2jJuNZrDfPoZ80eAtNh3YFicLMJGiezAQ066F6h
sEnpfn3IFBMXaJDoMpfLbKofhQOS6m/DsL9sEnKz38gQFq6ZRkB4rZBh2KekM/yptdBc9ZD3Dysy
ll0UVtpOJ7vLUmXXIsXrG8B/mMJAp/D5WZvpaqD+AKFRD+YVH63CbAQ8n9aAX6Z3D9ZESFh3dXqr
9RESi0thHC5/gMzXc/YGDumDp4TYW57nmkuHHB9gIrDI6a7BoYu83NfyL6RUhBnSw80rRUgzI9Ws
813exAB6QYfR8wa8zts0XFm5A+F144OcGFGTpZoElZrMRpjgJteqzKO5Qc1Prx8WM+yn18xVmIx0
7TzOO4iGYY4ndq6PFidOXuYTLKYpAc2h+Y77A89MNLliYi+xFNeL1FQ+pImMV43d9Ggyg0JLaj4n
7re1fYu99bEo9Wu9dHFzYjTFVHXxSr3JRig5VzGPG43EBlQs0BnKQ6jxEzlJTMlhKBqjLYjVxExh
UdTgTU+glsne6ar56+RTy/fKV0s1RiHfrg9Jgi4o38xJxy1i0DGr0/m2F9D0cRxR3/v2iUOFAXYU
OixcouJ7E1RuMe3tGXkAtAc5/R2Y7kf3BR3kY6RiiJWZ+Z/+cZTSDY7Idr5BduYuKS2wQSsQAbJ6
2jUD3obky2WFZCcX8D+cfxhjGUivnUupdKsEvOaCd5Tzg9H3GX3ATXTf2YpHtGyHMKaGAQMMOgEU
UHDBQzdMcZtg3WLtZohPOrnLp2tSPQ62ok4uvZu3kgRb0NFIMSQ93yGjPqytd8169JXRkgJYqR5C
Y8SYRtUcCEY25q77XVtvn1hQaIguG2Ql/qJ0Hlp3XXuPLyhQbT3NDONm18NzxO+X5UjNYyOHv5I2
LtfVtBz1ZB0r6l4z69pke61T3M0yv2R+iKBCUSGbbZAgp1BlHr8uHpK685EBpjem7wvqU2S501Vc
qVJrRIuNhf4hG2U+wUwcdyGTEUGpArUucwls4z0B7D5JFZG21ByR2HXRmIkuB0uQUyzpQJgFI8nW
I4qwdfqiTbuuvrdUeUOpQvyRCn0QVIk+MB/irooZgTXm2slu311v/OXlQNdrG8UJU0kS7L7No3SJ
WkiayCNQ4MziK+WEYXG2u2x3f/rdxJweOH//VUkIbPASRsdrZEClxr1dx8qndhuMJXutO/OpzYab
VK+BX/pC6i9lmjxg/s3X0nU3ud9MvM+Wut2tdho4DTuZowpNSLUI/NLbHIohtxrbbPBtQLftvF1t
3upJ2GpPl5dAloBAOhhUfYjscBMI1hM33kSMEb0x7vw9H97HMVjZSW+uljqYfl8WJbulARAHGHiE
VpYrlj3MhRmTCwi8IJvvK+MeEAj+ZQHSFdsIEFYso1q9ZA0ENHYeMnqz9GHe0P34mezjVhHhNnNI
NRb2ADlW+j0tVt8yHo3s52VdpKd6owvXdbP7GP1HmyaXsQyFz7K3uY6DzEgwG//kqkrY0nXDMKMJ
Vg0XJNjCvTnFI16AC2S1NWAs3+bO10FToipJSi1tI0Vw8iDPmJD0hgdOcHRstusjH11Yg/7gRnvT
fbm8fFJ3vxHG/79ZPj3OJ2rwJrdUv43Q9N2h73zvGS9JHHTtsUkVoZRiBcVHdOloaIpe/lyUb0N1
mGu0Yb3EKkxv6TWJeI037f2BxTlXyqgrkEBVKx7NmntYDUAQ2/1t1Duny2snPacbMYJLsFLUISJg
igUJ2K9TkHCTr5cFSB+xgJH/VxHBvzeUFpkJKIdgJe/moPtNe5y8L6b5RJqvCTqWwD7lVipfLz1R
G6GCr5+TEZz2GYRaNXw78kKID8MsTXwExyF1foOJap+UT4ONCNX7NqdJoA1fK718GTEq3bAKoM/T
6+WFkJrN5pMEh6UNemzVMT5pZBOeZc91jZmIp1Y7XBYj21BMzKH/jKMfAFni3G6Kui/GqreRCyFh
CmSjYl0VMYhMkY0ES9hQL87stkhdSBi/zno4O4+G8wZAtct6qKQIOxgxLBZtHPjE/J8ZABFx5vfz
9957vyxGdsxQG7P4UAeGe8XEsj1VHZsbKFMgv4FSjGXuV1AQXBbC11yMPDZCxKSyS2o9IS2ENBjZ
KeJnrwk99gggqI5ddxUL61GFWSzzv1uJwrHWSexhdh0S7QaYxcFAcAKIv5Q30++sVJW0FGvoCAbh
esNIlgnCtOolG8J5fKUKl2tIrcHj7V0oaKCPU7CGvtfMdhmQE7La7sXB8OVxXsjeadY3oHdmfja5
02Hu2iVMgfB15dr521Q1SP+xnZf+ArbEjVVMezqvvaIhTOZnOIcEuCQ4V4YjrLNHBjPReQO8O2rI
daRAhIiQqPrBbL9X0ZrKlnkrS1jmFl2EWgHavqBuJh81/2Btf5mqLinZQm+FCAuNazt2F95mXy5o
S4iNsMrHu0IDjvCnSuDIRhMUwvC4BvjBuadCaOImXTzjYjBCC0jFSfnj8rGTbs5GANd1GxcwN/ac
AgJiA4OAaDunQ+pH45fK3BmlilhR5ncBUOKA/QAYb1SEeRtcc9HT2eQFy+/19KuZ9peVke3+9vcF
ZZpkMJ04oni9rEkQ0y5MnJd+Vs2MyJZsK4X/f7NkJYowUYHxv6Bip9E6RDpGQscgd/Eaev6EPoDz
wNAB7iqk7c8l5VNRgZYZ99RisqDp9nSI9sRR+A3ppnwI+RObbNWxopF0OoREGBhznUMyquYyZefF
Qc8pJTBl9P8LapRgUqpmhmuKNscV7HClX85P7DPdIhsprpDQKB0LGU8CPUi8L4z3GdAul3dDgquL
Rw6noHPxPkRXuaDHMFjwLwsk2KgslOYJ71B7uE/nA2Cw3OhUt19xQrP+UMfgy8F5xUvo8hfIF/Lf
D/gL2FfTWIsWap7+SoLW9SP7tere5vF0WYz0GH3oKUKgxHoKArkOehpG4ru4G/JnTxW6SA+Rx2HY
OZYnCFjOTTtaaAfoEzzmS2DztM9WetLLU9XtmKpLSXbLA339X0GiTyDVErMEqRNknMh0O02vi3Y0
+7e2OJqqSon0KG1kCS+6qWJlvjiQxVCKWQEyUaeKu1Shjbg1FZnNbnGxbKRI/C5D+eLGHW6aPjSz
77mtqPPLhIF0EXQryHUiKyTcc2vsmfnAPcOcVfuUkGBwrNOwtsfO8ADpMPt9WysKydIzxtlW0QDC
R7LEUUbaR2ka5YiTqjSIqO6jPEJpCkio+6g5Wa6fRv8gcPNZc5eRGycLexVbhvQttv0Cvskbf6i5
7WikI74gru7IHK5xaE37Or9N4tu2OcTsKcLb5PKBk8tEooFnz8EVIGaC0IXS9yk4WoICwwiTibLN
Q1o/aO11YndAIsQ0e5X5mNpWiOUbKMbcf9BD0fzAYSKEmyx33bIobYj1Sqr9rrO1Qw4YtAjDrBWn
suPNpOi/OzQYqgocxiiiYzKt77q76vgyFDrHYfpMowwQ95AOAwgNxloEJ9sgR1F6K5/g0iu/7N8a
971WojzKDupGiHjnzch7m5OHQSe3G0CcqqOKpVhbmX/jBRFg82POyROfmFYGgJ24Tws8zRK/in8N
QFrJvN9l/aAcuJC5640oMddimIs7pWlcBHOch+BGuUnnJCTzpMhBq8QIYfzA1iprCcRE7VNHv+Yt
xWFUAejIbritLkL8Tsp16YsoKQJT27nJle3eI6hik2JzpNv/sTliu0q+rM6o6VAFrxHfaajvqJol
VXoITiTSjUIvDUiwssepQP4LMkzPTz5ThvUA+Qdwau4xxZAkc/WqqVugJmtx+4U53kNraKDkna8x
0XroSH+87DGkC/chTgxAsiJl1hrBqkdrOMzG/LjiRrgsQmpmHCmBs7EBRUkwM9uIrDEuIKKrf1GM
oGbJboq//WcZDqc1BO8B+ibxHjl38YPdxVaj1QV4kJbI9JdI1x8waMGc0CzLPN1dliYZMEZvmcV5
tZHg44ie5+LA+hvR0QSMllkwn2nwpdZNhML84KD0G9Rr5rtDcjTyB9r2e5CYKG4XyTV+Jl44U/pI
GKibW6youdf+R9p57sitJNv6iQjQm78s195J3WrpDyFpS/Te8+nvlzo4R1UsoojWndkzGGCAjspk
ZGRkxIq1KC1DxdZtHUC7mvwoSysJytJVdmJN3DlH12fN/FAch1jTtJeGp9jU7ODldK3grdW4ZyhO
3HnNPxzoE6Oz42aMUOw2KjscFI+F35N7raXeqtil2V15YkL47dG6fM3OUylhXZL07Bn72t5pgb/V
5XvDe4+lXZhJbvWflkr7KNgF4ZcgagUkkhfvxgIPF9725k/Z/zqWn+3OW3Mw8bQ5+22mgQrMH63Q
OTkDo29pCTViCmTtLYVgoPtuTPu+sA9p9Vmftjgf4OC1abiFg8pbA7whjO0UBudlHXnUvVIRKrXe
4Ebam5nfR83+8slZuET/DOUDBab8Yc3n1BNJ1gbNgvShVrWDNfxUk/3o15shOwxr4owLAfvE1MyD
SuBMtpljKlC2iQQC9MrJDuMaueRC/DyxMnMiZtMbp6yxYseHQX2s4Ya/vGOLH4Vc/X93TCzzyEuR
ecvVIsRApMKQ/Rp2+yBcgRkvgTDAENLxBmyqns99BEEFFXPHrIEVyjuGZ9Bd26Xxj9jbhsqdxkxQ
vE9ChNHktRLxUmw5sTyL25KWwKWmiSmH8hkF1zzdytEPCgkwQYfFFm7Z1afwoklm02B6pBtMIWaW
IitO5CVaR1G1ad0E0lmmdluIJRu3GVs3SluGFckith/+iqCe/xqdr1O2ozEWuMlsesrNJ1n5bQ4/
L5v4M2c/ixnHNub19rprjF6RsaEV/WejLW8ib3QjAPY1I11xo20b7XeVvJvKJ/Lw0rxLh2Cn2LR3
bVeOmTo0guuwM/djiiSA+ap6MjpnP0NGb8GtuJ2RPQ298RgxLX75dy+c05OfPb9Lwy5QjJqf3fEK
VPN9r7w54VbKVkLqwp3JXQ18USYHoaI+O6i+HnhFPQLHHc1JfwsdJ/3m4x0ws+lacMupIHloMrPK
2YwARuLLizwPE/DiQz9LggIz/BlpVJ+UKQPjIcCA5FMu32bJyurOo8T/8O4LEwajaLPVpV0RVl7E
36/ptTilv4nkeO/I75dXsQAmwQxYKUpllNqxdRqMREfTQAAP7oXwpYLiM97L2mFApcz3AeY+GtO2
7FzLuWs25WdDd5vNBq3aYj+tRayl5aJTC2YcTSyYJ2Y+0wSFEo0qyy3zX3ls3jWjdBhbdQWc9md0
7/REQU2MxjRMDKCPaMGcLneS5VYqZKJTb5pT4EqgS34rQWrejrnaxa6cNEAKm3JCJSfXalRVEkYA
p1SptK0ShvmTwrP6kUZ9HTJW6dTmVus9ddfXVTegnt6mmSshDZm7TRkHnz2rrT/3U84OanJsX6le
tHZZic9zth5AbvAxUIux5qGvbNPE1KOKlpXu83wpkD9NnAROdcm23VJN78YqIZ9LmDSLpH/ArrCb
5MqwqQIxBTN2upuSMjgIRHAC8+S3b9564aHzvhjp4bKPLrrGkZWZa6Bw0UWGmDCx65c43ioVJBfK
62Ub51kMgCqm2HQTFVEB2T5dSVsDtS+0ToBxiye1Ne4DRzuY3sT1kbu25K1cHkvBQ4yXomiNMrM9
bwPWpSb5SsuSKjDNTqW6avD98oIWLVCqIgMQQhBn4cPLYRoNxPVkmXtH9+CQWBn8WdyyIwuzNGYs
6ZQWMRaG/LmDQLr/JEe3Tly7zpqQ8Hmg5+M4gtgEXmyF/5p9HK9DTVIFiBtND0Ag5fLKC3ZZ7xo2
ko67y/u2wEV4YuwMC155fpUJWHZVblP1vh8Pabmz453iX5n6ftC2ef2Yhtvcu7K1NfXcJU8/Wqgj
3jdHmSHaI0AFxELl8q6iFO5c+WuqbksB49jE7OlXBI7nKRMm2mTbDtewBhDi0QGInL1kb+o1QfCF
WrHYTm4WHvN8vfm7esjiWM8A52z8Yl83T/L0rkZXdv04Bug+/LK160T/Vkg9LX2k3uTvtbFSEVs6
B0QnrlDge2SHYsuPttQrTT9qNdabQnPC7I7bqSvhadGCJeBNKqQ4gFlPLchTUcSqKZBHWu0q6b0c
rnFyLRQnCBXsIoRcgj99fgCqUpJLdFy4tQz6Sbfp+KI4V1J87ze73Nz6TuyWNQgJ/lkp9S+dvCPD
88MQW53fdB2GQaU70kHRfkTNgzK+1sWN8nGA4ski5xp10cjZL8QiCz/f1+P3YlJvpCDcXj7fayua
H7EyS8xRoLYDCNTM6THJbsl/PfOH3FyBH1uxtnSgj/dvdtpa8B51LIs10bS3vtXNTdR/vbygpTDM
qJgs5rAtIHaz4FgUBnS6DZM/tqfT66zCX2GnSm6fo5YSDP60gy5mjXVkaROpkwnGdjB9tj1z+UEK
tNARCI40/tQ08JZvJPk1V9zRuenXSJEWtlARPO1/Rj8ZOJ6tD6pEJZdMbDUOVTFVNz8XjTntEwtq
w8s7uRAaFfgFKG0LMUFGmE8Psi8jy9vDZ7AJ0btUxvDBz59ATD9ISnFTaA+BrO1tg3TwstUFKl4S
p79mz1oDQ0uKYBA/wsG5YrQK8RVr64dv2qheSZJ5UxefKz+47YJ6yz0OkYPubEa0LqIJOSnrVY+C
K73VN7qy8vrUFr4yPwy3YsafDGKOBKn8qMutDOe1cyYbpNaPbwIjl9VN4oTRG6/J6avtJM51qLX9
VaSP8bZqm753C7VB5rWZPLec4uBLVhXyU+apkbeV+8ZIrrw6bmFQ7ofmJhu0AW3R0dS2lhoU/7VR
5/dbVUqH/xLYm38FHkzEtT6Mg9uHpvrD6irjOuvH+Hb07XbYcFdPL61TKTiFHH/16jK8Zsyl3gNQ
q9M7KWud+1ju8pWm6/kDl0/GUBo4CZ5MCKOdekoSNYoeFPT4lfqGp4Kk/Tfm94m3NlX1Rxtglt0z
KU5/TQw7MUg9y3x5+HZNGej0/roqkzdBEHT37Gn/O2yl+krWW8gqzLgYftiZ3j5kQ08LQ+7iYhcP
cX3TW0P1ksQ5ld0GQr/XKtTjpzKR2h+FI00rW7LkLPACGSDlBSfw3Fn8VtaRDaEPbY1SeJDMSd2Z
pXNdFFV1rWlUgUbb9twx17uPX/CIY4FHFfcjsryzb8HjlWr+n/5o/QxNoWuZu8sHdOljHxuYxfBG
9xtbwtE3EJxQNsmlwvVCeRN9vKDE4C/JuiBd5H/MA7lUdmUbinaUbZa7to0fMq11265audIX0hUI
GohyvBYFgcPspZOlXRn1cU8d2u63ocShHTaXN2zhRuJBCEUgE206UlOz26EPkMPrKhaijpsKCnE0
rVsVIszOrRRtxdbCx6ELbZhAfYSizbxL2Ml6kXQeneggd7vsWzU8NvkuWhPNWtgzrFCZYNOEQs/M
x2LDCVV7FFayr6Z9H601Ltb+/uwpFYzd1CWiO2wPmStLO3/IVvZpzcLsq0dyZDapygoyNb42u+gq
L64uf/XlL/F3j0SAOEq0yyJIymlkDWXm7x0NQpjhi0kJ9uMDXYi32JTdhJix4Lo5tWN0ShF0KXZS
5XkyBte3vzfagxMFKzu2kHec2BE7erQeFKXqEQhXysDk09jd1/0Xqf16ecsWqvSna5mdlNj01Hro
sDH5L5EHMDzdZVbk+v1VM92r1XOYXcvO9/EfItrJ0mbuZkIjKoW2cGcdWc9605bypshvtbVPtbaF
c6cL8rFxWpbn2Z+M4rHyB1eLt5f3cM3GzO3GfPJStcFG5b9M9lXeb0Ayr6Voi6eHYiHTijxi4do5
9YXWVkNfr9mw0gGDbmwdSMdGV1TWLPl1hFsgfKuST7WH2iYI3Tb5zNTp5WUu9DhwFZFzowJPQWfO
SZbXJZDpHLdvy71mPXfpHujCfig3Xuq4MtA/ebhLPk4sayCpKbJvDhyl9llGbJnxNFaKRWqaXjHK
B9+KXW+rbnd5bQupw7GVOWChclIbCi6sGNV7Vmz16d7uCjeuiSB7L32/bGzJXwTyXoyNCQrbmU9O
hRLntgyqKKm2VYX0kEWt9OUfbEDCoHAz6eLVfuouPVmOUzq4S5j9zvy7BqKVtVt8cRkaFx7ClWTn
c7hu3ldRHw64g4ArBAL9R7l+jex/ye2dv0bmaN3BDqxomjDSFJ89eufhvxS8jGML850iRRmjlNMr
lYVLZ9Jsb7w1vueldARoAcBmGORFq+b0a6SjxZnugd80yp08bNvua2fttfh67N/+4bPrPMIpBQEp
+6MEdnRjQGmbwknLZzflq8nb+tW1p75eNrF0YwguEVCXfzS/5yeyzZtObiaQN0rytZBueP9s8243
mi+etbedQ6z+tuR9bq2UehfudqyiUsUuKmjAz7bQCFrPpKVLIEdQQkUtO/SuSh5i+RowRXzv2YMH
Q0yEw7tGc21+cpSkTWo1jQETmO0u10rXs5lmYwZmAP6l7IBlgKiVQE316GpP8Y/Lu7vg7yfWZ2le
F8eyZIPTANc6uJn9oJQr61vcRwZsmOWgbWLOm1yJ1dUNVXOWR8COpd/D8CIF98HaZbEQHDDw18xs
HU2gNWHlYEbz7xBZ7IIrw9v/w1YdmZhlYZMq2aUfp+AZoertazDA/ufLFtYWIT7W0WmSKniONbFX
lCDc3PkddKiWFSv9wKVqP4M7PLh4clEmnj9bYaqKJcjFwGKgu1aEPO0CxgY0N8seeHBjD/ZteI+L
/HVoX7011NdCxenEuvCXozWinNtFkozDpV10qB3rk9yVt4Iuy9dMEFnMgw8pjlgfLm/tQkQ8MTu7
A8Mk8nlMsehJe6m9u8S4H5SvWvVNW5uwPP+GvAMtOFR0hMHprc3yh7TuoQeUrYhmqhy4cVs+pKbk
JnKwEp/O91E0F6DUQ6yAN+DZm6BpyyYbzZjuXe3q7X0xfOrLcdNr1zL6FYj6fhxnK5Am2EI5mFMw
L8gPRWomRWHFGzrJkvIaBy9S/fXyR1rauyMT89K70ZqZ4+WYKIBxVvq71prbetxeNnIe8f4gZris
bK5hJD9OHXCE5rvvBySpS6vfmVG97ddyiPOQhwWbkULezvQ556WyVJfMTA6RL7c6t5CuDXXXadBw
dW+XF7JgBvl1UTZhLEA49+lC8LK0c1rgA2n7aji32oAE/OdWWXkTLlkB8w63HY0s6hvimx2dV0Ma
TSX2fKwkHsMjpfeSyO1DP0n1tSJ70tXlNZ0fU5sXx19r4tccWYstI5okDU32LCxjVy++D1nyWfW/
2pN6NTa/LxtbcDdYXCFS4BzBuq3NAnoUFYFXlrizk/vQKHwfgE6ZxafLRhbczRafiCFTUL3QRZ2u
CDByk1uCpWwAd2G4pDLWMzel/d9lMwvh4A/Pti1EtoElzsLOGDipUgo8mOXt4+k9gAcoChn92ubK
HvAvhaK1oUmacPz008zFxsupeAEsUaErn2WywSSlTuDDJasVdj25su6NDIrI3hPgSL6eFfDkdgOm
+DeW3bVbpw96t1RssmreyMwdSFRn6o3eSz1001PdX/e9pL+lXk0qEspdcRUVWjxtO41oKqdmExza
PkFroCOy3tVV395RQa4eSmX029vCCvUnczI5b9M47dVmDG5NNZW/qWNu3w6hXV+3uFfI8FhKYNYn
XaF5GMcSFEO+Y/5O5XzYT7o9/gil0XjOay/9FNDJ+lLEdnurO/GwN7DxXNigPoosU4NtOjjdjZ6Y
5ntXBrA7xWOguEPbN+NW8aXsIQ8BNE9yUvubsZK774LRs95DgJZft+ZE2K56K33qs6qZbumy9t6T
A7L0kVEXu9v0UCU27pAF+bVlBONb0VbB3go7mEBzBX4ACprmIQg1tAI8G7rzrd+ODABNaiA9Jmom
v8fl5D3nTR3SP7GM8jrtpGiL4BvKOZ2e1RvqVkF2mxVxfsNn1Pyd5sTjL7VU8xTWtDj9DF1RwTsb
wvB9Vtfh77opE3UvWVXGm9iy2ph3ud++q3rffM0nH02ZLrCjH4g1aLvKb3WkNbJEu9ODmvJbY3qS
e9nlz9/Q1MRkwZRnAZMA8HF6skIuqkAq4UpW02mjw/2gSs1hiuRDCDWz16W/ImmtcbV0mClJCK1r
B0K2eVHE8HxLz1JOmRbvTcBH7fBxiB2LOrIwC+pFllh5I9hSfaRjpWR0++z68ratrUFs61GIbUal
1cc/kQL/qsOHQX2+bGAhwYSiSOO2QO+KFsU8FjXgVfOsGSlu5Kr0zeos62sW+H21Ke2M8qgDAeY+
9RyfU5ia3eQ2gReq2yZW0/8qX4v4fmF9W4R9V24v/7KlpUM2Sn4GvR2l+lnAT3xv6H0dYETfvkpK
55rBSqNh4bJk5X8NiB9wtLd21cS5+ofYqFffYhUaRxAYxljcZOqKpbWlzJzfCO00soS0YkU7A/RF
saoZtXQ7WrxJeXhD4U0X4HQtoRMSnwU2gUi1Va03B47DwFj5IotGaCyST2KLfvepEd1KwqJHX30j
2c9dvU/araGtmFj6JvCw/p+J2cvQAbJqehFdunr4FhvmNmqBZGc9Hcw1dsu1xczcS87bvOglFlOP
V0p1U5ORr6EQFvIjm4oOGRK4BxA+s/0Ku1HtiHsChZDtYR3cpwfzUwCxsu59nMoVOoQjU7N9G3I5
jUeJEqVXhFeInWaJvzeabSPfB8HHs74TU7ONGxTL72KP0dZ88LaNGW5hWE3yN12GyV0yN5eDwNK1
AYsmpMYI1YBmnxkr/bxra4ct7ItNWIduEaCRd4UMlWuglxytOcWi+x2Zm4WEWon1MZMwN6aeG3bb
Uf7tdW6XvF1e1ZLvkWdSYFF19byTCstZayQGkJEA8QMACTagDWVa42ZasTLXjB0zXzbDkWQ2gm3K
Dp5M/cVcY05e2rCjlcwH7dKpmsr4j/RpYZiHXosryv7K/QQlHs0iL/p0eePWzM3cPByRN68TNk7T
fibWT+bsNgWTQ0H05bKdhW4GzH3kDPTs6Q8D4T8NdRXHqfJaRuQ77t3U2DjGS6t+UkYqH+E2yPfN
uN44XPJ1AdkA546CHUyopzadAI51PwdMoeWZmOjTbvO2/dT2RbpTqoeOHo7krIAiliKUAws/S5Qd
iyb1qUnyx16zergGpF5vd5L2ZMStB1tDJl8XdvkOD8daq2rR4h8uAHjBhKD1qUWzbfS6jAm7+ZhY
tNsU1IbjPlS+qbEnBZtSL73kkA5tulJIW7iCAU1ppmVTDIFzePbk4hNnsdnTVskC4zpv7y2vPFz2
mYXj9j8kjCbILDpSs5VJCTroekvlW47jdGdM8EqaVT2AxbB+/YMl3sHMIjhiFHS2lqlwTArBRKko
pyCiPrfWoVDL3WUjSxvG5LngjGEm5aykrkx2UMWVIHYzR3dgDEtbUx5ZcAXn2MLM+awJKRhZG8mK
6MlHT5G8V7SrNL3Lx3/I0wWyl/4o0AhIrcSnO8r04mzIRnsUmEqFIdLW2RTBz8u7tRCY6D/SigK0
DrxojiKO+8gqtEKDIES5UfubTN+N9u/cWHvGLwxcifYq2BtY4y3+Pfv0RpK2YyhSiiYK873T+t1V
1jnV5FqZYfpbywns+1BOgwffCdp8W+Vp+dD3SfIpnLTwJknVND94jHdHblm2+k41veSTKJXfqdEA
ca+KMjsocgMKzrrva8+NcqavdmYYjiqFg9D4lDjQx2xogpjXUV2XFc8eRcpWskCxitNaBesDDw1H
MkVve95L9sbY9yoaBLzcDHk39pm30etauu4bYbBsxp2q9vrBGNv+UHWlvbn8Mc9PMuaZWYHZmCbp
mYwoSqF9GBe0FaErKfeNFfvv9ghgJPOqj4uuY0qgOQHvAECfh8PBiZQoi+gvJm03upaShddBYdou
4zpr/CBLq+LLCbYvR1N5EZ8eAsozUt4njNoGY1Hf5rZZPKtRY/+wC40SzuUdPD8OYkqKoGrYwG8h
yD+1RW7jmHXHBGlRPJYarSR0jbvxoBfSyqdaNGSB5kLvz9TUOdGHr5qllcUdbWbAjWOo8F4NH1Dj
2dV6+XJ5TecBkTX9NTWfJfIKPZenBlOjCcdfnT2ObfH1sonFTwR3C41MW3POAnupp5y5AhN9529T
T3uK0eAL4nHlplp487MUINn0+cDNsqrTz9OGDlW8ZKS/0u/b6SVMbqXozVevDUa8Q6Qzy9sJjfTo
oUiAY36+vMalbYTFQChrc7VQZD21LUuS1YWxQYMYqea0zTZpuL9sYWkXbQH8JoUCrHhW92mN3DOJ
vZuweEPrbVKf/+UsiShvQ2wkyAjn/ZzRj/Nqqhjf7OMrOUW4YLoKyaIur2Nhp0gDaeDwlXSuFO10
p2wjL8PCVqD/GJVNG++YH1mxsHB6wMhTLRAIA5l/Ti2kJWODgRdkmyy794KHsLy3nN+9uvJgXFiH
mPBCJIAJQGY4Z8EAkcysibM42/QIPOrv5prqzcL3JnAiMM3tTtNjHkOzum1GZniyTQGzbh9v1exR
a1cUFxduJBNwAZ9CVKPw3dOdUhNPNylxZZtSOSjp594+5NYX3byWjRfPQDGFod7LH39xUaA0hEAA
IHdVPBaOUhYlBqnu9xjsojvDeAusrzEDZf9/NmaLGmPZb3MbG1P26LWPlKyj8NNlE4vf/u8y5gIB
1TDVQLsxoU/jXlGSq5EpgY+bYCSCE8J/mOWaBRSr17MSFolsIzG8GpoWNfr4H1ZxbGIWL+vQCijv
YCKZKtdh3LlbeZ2cP/1IsSkF4GMOad08ZJlGB3VXWWUbMw9dPfscvdNYpcSxNenUDD8ub9iSL5Os
QhImIGCoiZ26Fi7nJG3VZAhgPY4d8slMU8v01Ez4Bw+jZx7kNdmyJWdmgUgNMSMARf0skrVRkDtF
3hFnzJD13KTR93aNiHcplh3bEJ54dGAqrZJ4lWFDytzwd1d/kf1tFKw4wsLWWVQ/hf451Sj6+adG
gl71hkrqubSMW8mM3DT4ZDIHGTiuYt6iGVVOK3FHeNYsEwbSSSYANxMtanV2RPtaRWByHPlWzqdJ
utXRDzA3WgPoYlwjG1v4SMxr8ER2dK6DMzEeW+8ycnE521TtCIU4r0v9czmsNWXOrAjSAJNZWcGl
yNU5O0qyzFQOORrQwyZmhmlbKJlrhYfLHr5mZBY8y0JxGm/AiOEB8IZfTMv+QWxN8BIIBlocGvjI
PMeVlX4whwFigkil1q5te7/YXF7GmUv/sYANerZi9Ht2cTZtUTAqR8t7KJ1tVm5t50VJnI28Eg8W
dosEg1FvZLpFXV/8/0cnx8urgjS6oBJeNsiwMsk0fvE/nJQxiI/MLxUSvjrp32wtUp0HRiUUrLJA
e9babmtkyO/5K3F0aSnHVtTTpYxJ77WRJ6yAnzRl+aCE7aNmreGTFs1o7BdPfp1X4uxUdgNvRnNi
EK9LjLtm0O4twCNq2n7cjVFFJkMTyCExgTdbzSSpZmWIFgX1bgugWam5NJAuO9nZ1cOHgZeGnIaS
lUL+dGpEzcuMB6cJKNQw9r0T7pjLPPQ+WJ4kehmkfhsEaxQ8Z1F0ZnIWAyK7KK2hoVmRhjoz1buw
+O57zTZm0k5P9np1gOnq8iLFXzwJo+QFvK9F6Q9UB0wQp4u0ptwsjIZGrW3X5OwWHDXFDt6GgznZ
L52XXl02d46CFfZEH0GBrZjC08zbAw+S5VYoc/WUGdtkV5i07Q95tMmt1zh+U5TnIHh3/JvLZpdW
ySikjooQKQSIwdNVkiP3YVpRtNaqGz+gPyNaxrf14Lh5t8LftBCaKD7RaKSBwSSVM/eaLE6mMseU
qcrXqebdtUkMjVH5u3Wa58urWjIlmiQy6CyujPljVc/yujc6vMUwO9mtlaK9t4OxuSvqUnIbf/yH
SMXQpEPtiY6TqMyc7mKv2rXiCQroSjV39Fuhs6Za9mHQNx4CTlpg40lZz16QDvANvIcSF6z61ja2
fMudkuw5VBImT7N8P2bZ++V9XPIOMNJibeJ2nz+TSqvqkkoIMNid8SsZh4OKCvPkV7Ub2fG+NtdY
xNbszXKleqjBUgXYK9Lwtxw0iJIONwMV+Foqn83qw+nLnw39u7zZER+z3CqTmA21M5h2pc/I9O7z
NRbGhcBvAVwm2adrQp48S2SzfHTgwGMNQ6xel9pz0xk7EHcfv/dPrMx2zk/bKo5EfX8I1L1cee9t
U95r008/rFb6P0vroRYo4IIkM5QGT31dm8YomqKRSNy9JL3DKJnkBmvBd+GGoThH2Z1/UdCdX/06
k9eVB+sQBFHKNpC/yOEXr47czKufyxBJ15V4sWjOwsmBuoHUn+sVjkMAukDMPtdTcWPFd4n2X9WX
O/NXQV+8W6N+Ed9ifrPAa0ASQGLDLs5iLqz0rVx3ZByx4/yUEggds3AFPLwUAEnPNB5PpGnwYJ1+
JA4R2u01sZYq0bXcZtu2H7/xEmGqyli5J5f8gfzJ4pEmKtLzp2GoAM/LLBolkXUFlhAk9FWtJitl
h3PKFY7qsZXZ5WHqYZo5QoOtSfT0P2kyzBtv0KonGK7GV0WaLCbHzeJAUyWhNmnVt1FBNcTNqsh5
VJ2++2SmO7VfI6w/7/nOftbsMDjhaHiByeIl+HuS/sCEhzltfCNAV2ubl9pGDw712j2w5K00jbhq
YPvS1T+ZxFHyrUC5a03QEW6KqrkOTe16Cts7LxmuRo6iV7U3sV59POMTfar/MzlLkrvcHL3MxyS8
HG6jm+5g/2y8LYCrHZ3ELFw5j0snRKB2KdLrMAXMZ3PapJiyRHAEKI73pMFIPpSvl2+2xQPC2DP6
pOLtOgeJqL6ROWMlLIBDDm86OVWiw6ApZeBGheF9b4Ku+Jc9pNwE7QcvPyrNp2eyG8dO9wV6qMnC
Q2vJ75lc3OQFJQdLvW9GyATTNVWaxVWKOid8XDBnziNNUE6DETEVsbFoCuiTDGtidqvnDvMXxkrV
YTF/5WOJoIbBM+ydakUxIqnc3V6TMBLbuzp3nuXvo/jnYLmS9lB6nyx1r1sroWEx/nAMOAi6wGzO
tjWgrz3Fumij1paLdMwTGL29h5jMZYdZSk2oF/6vmTkyprZHX23FoZMrf+c3bxLNgjLfB+OExvFK
SF36bJRv+V6UjWBumS3JNyQFdU+R6A1AiWrP/s8pe2sjNUMAHU18uLyyxSDGIJzOI4e2AW+PU8f0
nc6mycfXMlvtIaxecttCkDrvD4nh79Up+TpMBrIVj5G5NuOyuNAjy7Ow4jUo2tQGPhMm6Xsvf5li
7bmgOLuhobW/vMolN6GWSMODxJn62CwNs8ou8/wIU3FpxG5h6L+dJr2hsbYmuLUUu2iZElIsavDK
nL0wbDSUAQcmJmm7f81LJ3C1VTrfxX2DIIJHFFcu3+70i0XtkPZZg43MAkCMIHoegaDXVegaV96H
i87BW58SDxFLTIGemoImZ5z6iW6z2TS2ctM4mp/ck2wWg6sjZQBEvYtq2zV7NX7QGyN4UQO1vbUB
s3+8TkOlEao8XuUMOc8PhREWre1I/JC4al7JpxlrU6NtBovsSpxeXDJwKlFBE03HeXcgMpQgsUui
JmnwjWZHvhsjt+zVwTev6/+bHPUtSLWNmmdPCs+hy256/mV5tBKq2W8KRWeUM4bWG31BrrOh+7br
TSji860Px2WWvVw2dB7PMAReja6neE3OM0St641Wc+hPePVdZn4bUt9Nsise5HRGVtZ0fvROTYk1
H+Ur0HsV2qBjShlR1XN2Tk6yuHahrxmZZWKdYdSlIlo6KJn49Q9H6tz4wxIBoIzpfXDNUBViVm4W
Q5j2qOTBp5QfM3djJt1VaiV7TVorBS0sBbwRKQIzWQSseeNwVEgqC4WqelZb3+nKHyyPgOwX/so1
s2JnzsSMSG+OOOuEr6WjGxTSvpaGnWes4YwXzcD2JG5n8pA5BFxyulGqS5NdG71uI9u57TpmDs9X
6308WCl0WZiypoQEicD8HeeXFZEqgew/NAs3tXe2tYmjezsPt3b1zSyCvc1M0PThORURlEBgUHtR
QL3ZM9czwzqIvBCrdpJ8hhvqTS1Ie2QJhTZmgAyG3VLf2V0+vgtxQoycmYKFEnqluY90mh8l7RTm
jP7I+077kYz9YSIjH9EMumzpvPKKI/61NPcSL8z9ehiw1NivDLaQk+wkz9hNwzdDJdfblWu9+TWD
s3QkaXIPKBcGg7p0rZ6M8SHqmXH7Elr2rpberTXA+OJewnnGfJ7AgMxvltbSW2Oo43yjAFscg+dB
Hbey53bWSop8/m5jJ//PDq2E0zhY5YVceCYLixSNyvUX3Zk2XrSRjPfU+WJLa5I254mIwpIgFcIp
WZc220drCvrArwgjpXmrjoWrwX592TUWTjYUUoLCli6ASKtOFzSUCYUGZno3ha3K7ij30S5uoG5B
t2mNF31pMdSOTSDH4pzNX4R01BIpUS3a6X7hGsbTakr1J4E/rcogrCfmnokgIAjniU5bgcGtPE7x
YNSZW3jGrZUazV4ao8dAlh7TWjduPLW/UyTpxrara0nNX8tyui9U34cHnlNYB0/0kHTS5u4mRwLH
k8jIfFnrVk7kOXUq1zWgb9H/J09hT073va86IExxkDMbZO4LJb2SA0EYL2+LDn20AUh05G3k4ac/
GdtI8QXT3kq5ceHLQy7AhDW1Mgpm87ZBXXh0IEdJ4AFu/M5y/eoFYqvDh90LIwzNIpUDgGZ+LtMk
LdNi9AkE5GFeLR9MqPdXtfMW0j3aHjyOedpZwGbmyXQblZmixZjJh3iXta/WKLCxzXA1lYJOp92O
CE8pBbKHRr2Way7uI89KYZ2cYj7iSBpYaqGBbT2CE2toNkOh3CbBGiRg4fQIhPn/mRER8DgDyypY
mFrMhDn9ncR8aII14fWFqC1agjqISnJX+E5OTdglckKpRHAzqxfde+iyd4h1muHFrt91/ar1VnKX
hXIDIkpH9kSwPVpSMza2N4ZRvpnKbV49xKMbUvxWtv10o0vfHM1t+lepu/q4R1LE13iGALEinTk1
yixunhYA+ehPyI+jlt8MvvEYSu8ft0LviuEvGd9X51UbKCYBWyaoOBrJuKua8bqs6i0w35XraMkp
NDRFgVqBsTsrQ/eRHZTkQzgFIypa/Yvc/+Pr0AkQqgo+iE7cLF1WIwYCOrPGueXPinGjoSmQrKxh
6fwAsROjXkCEcL7TD+IxkZ3TOMXrkAPJKlOQjLird8OSb9OzBykI+JTbbnaT+qadO9RD2CnztmXU
BBITpX+Og23m/ar6bZqv5LHCjWZXEfgQMbsG+wM1c7HqI99OuqpiHp0hZw1OTqsdXLV/bvKn0A7d
JArdck07a2EXGTgUTVkZyBoJ9Kk9aeyMkpdNvokzMa1r/+x8LhdNXQMPLnic6FuCGhEXObW6UzuZ
phReEMoilaykm6lXoVnujDWqziUrNGGpQbJ/XJGz3bPjkt1LxhyRkdsBQem1Ec0Fb2AAmCcGdLnA
x+flMrW1YFsL+PtStStkSqkx3dDPSn0Hb7/qH8Y1lNqiPdGkJD+FyWHecAOfYvSNzK5Z+XDTOsOB
SrxrOr816wc5C+x81oG+8UfHj4lwJsJ+MLE5Mvf7bBP7Liv7mBSHi6m5svwemfE1Rqc/f2Pu5ixL
EcxRFG/nSYTeakEO1W2+8Sk+QAyRhNehfN+QEaON2b3+P9K+q7dunen6FwlQL7eSdnXvsW+E2MlR
76JE6dd/i3m+N9amiU0cHyRBLgx4acjhcDhljT777nKLwT5x+rMgu3G5SWT2XKQq6y/QTxUyt+hI
28qsAz1alCMmfuk3Zmt9/GszyCiV/4rJ2ajOyDUsJMTMcnWj4H+MQDo4IBw7DyN4xfxJwaE4H0Ur
aMA6lWX21Blk2+xwwY0YGjfQKOaKpDdtLWNQFJkLluz7/0h/HKqVebK6JU2TUquDwlj2pQk+Ei/b
LJN9/+8FQq8a0k7ImCDOya1bkWttRhD/CmLEnh0vfqddeqXC4wVbksybECweEqWgVWF889B7bvFQ
21gWRgwsPWsuCIlvl9neOV2JcRzuNs+HvWrcaiivLVodVObXuvZg291l3Ft+a7x3eS4RXeTdrL+H
X+KhxbO7J/iexYpe6lHbmJ12tJrqmOXJbY/IRoE6SAf+KrJNCUhEJCoruIDAKYjRReBXQYUXb3Km
UZ/zaUBxYtV7fqkdqBZgrGChp0GpwKt7Pb/RAn1yYa9ZARwKhNBCe6q5ix13cwmeMkwdw2hnazcX
P5dRYs9kGNxJt6I6L7woaYIurfwl2lVzHLbSpkGhGq0k4VQ2bhuqaj0kMfOdO7wq6CsqwiTbnF8v
GQqzaqvzlzQeOmIJZLExAi5GscIBzz7dfTyPIl4xmxFpYCgyCPhPUVxtyRyoYRMUGMauoYG+SJF8
2p4HEYvyF4SfE5CATEddOrb1ylVl3pTOPpsDSiTVEEJ1RtwAjUvozvsyh6utnCijDhZM6Q24HcOh
MdpLApZttOnrwaRFO32SBXtEy8cCL2gxga+DQuzT5SsyJwcJLJqyXTdD5NO7VMtq5w3a0/kFFNxg
YGFBBBAmH0B81WCbt5k2Ny10wdavMF54V0fv5xHYw427pUGcxwaLgZmasUCdCpJMPdE7A86h46Yl
uNRADJAnE/rL++ptmjMCuxiXEvv3FRMEvejzBQk+huAZfKB9KRVr8Ey4WEMajt6raWwicpzMN6IG
/1Y4AIEamvXowODxdj+NNIP0Ndychvyg9mvUHWLy3OnHRda0+XWfToB4g97XoKYqJtyZWvfDyWGy
ZePj2XE83SaM/LaRLsZbDoywfICsN8elHgYbXga9WIZbu9opyUsX79vpotEv4l5SzCnaoTUcO9gr
G1THVUY6AriimYNZPYBTeRelbwrdD5ms+EeIhc4/VCGilAm5qlOsccEMeZw0XIbq8+Bme9Na7mqj
2ygd8ZFZkvgCXw8u62BnhXpgjcP/nL5bypDFNbsppqn0HWc7uU9Rszmvdl/NHsMA8SzYDDCcjWcW
qLPRnesJM5hJ/dua79vsMplRBiJ5HIt0DhXa6HOFY4ikCLdumoZpjobDULQ7O0oREbk7L8ZXu4oB
4DCqeB78sQzcUhG1baqmzZqgrkK7wSzOj9i8MbJDidmsuaxYU6QFazD2MSuNK9s6IQRsQoG7mH6a
HyznzrIa31EPvezFJVIBVFOipg31eajw4q4+0NlOlZVg4VrM3ii6HRsAZyUyhgEhChsngTuJ8Qdy
q5d0tYWwcdFgCNXd7IHdzLtXHBkbq0jTcIX/BeFWzW0nBZYWIAsOZ33o049FO6qabMibcHOQY4C/
iFgMpvOebk7VNL2Tp4Bxc+uiRMPuHk9T0JbG9M0h9pUeR6XkCAkRMfwZaVJkUlB7fYqYWEllqRHu
16j8xa7Y3gla5aBMTTjUu/NqLlzDv1AoCTiFApne0Gd1DXWY96C6a6fG9yy4dRIYoT6sYLjjakdW
S8gEmKjY2OMrSe6b9Pm8JMJFszG+BOFFTEflS9AwUMLsUGrTBLp+N2bbwTqqXoTikcCWVfAJhYHx
UVHyDOvAB2ES9NZPRglhpj7dNrMRZKjwoRhKfl4g4dasYNjPV0ahKCfXxjTLJshJidhYQNPNrNn+
UH/DlLJul/8Thy3sCgctooUOkn08HzB+2CDuc7XE39n+FQR3UhEbizEcBxBjfG+lN6l3s1BJXFG8
/Z9ScGemNz3SWkyRQVq1TeILku9aUFYkJubMSJ/UTF15h2S1ZLxrDyqOqW9NgJEqQV/qxHoGlp1i
vdnEDQen3IyLGbY2yUBJM+7zxftv68l7DbaDpi5wgf0xr0R/HM1d1MsCmhIt52fo6AVoCdwGGEXn
hU5yow6e78jKZyQ6zpeqtnY9YZgcQLQ49IbN6G4t/ejIgjpC3UADEuqeEAXB6N1TDTfUOUk0CpSp
+cDMj3bejMVdEcWBk8v8OeGqoZwYJB9oU4NbdwqVmE4P4uYGhk59NNpNUf52ZLZU6JmsIJhrtDqv
WVwMhhtBGrt6dqt3qv3MvWB0H9xJ91FQc94IiZfuUx7OCDmjUtSTiTdYp4DyKCVhQik6Yv3Jeq+t
5/NYMsE4K9HH8ai2NdYu6aw9cjcjfbFQ+qEZr3pzNerf8IXRqPB3pziDgUx53sUm0PTKfC+cOfWR
sdxifMrhvFSCeBc8yU8gvucf5ckNcu9YwiHedNGjVYUO0odLtqckrO19ncK6J/tIlRUPMwG+GKkV
LnfnLhoFfTEaWYOoy59HLzt49NGKGCY607ws0BCNbrvvuM0rUC4WVUdLn8Q5QMnUbUv9rmknTHLd
6f3rhMHM5fRxfnElx41Pw6E6us1VdtwqgvJh9IR2Q3NfKI5EKtlSckcO3LzWMpaAUesPKwua4eiA
F2729skUzJ7fyzxbmVjs56sjHhdNolADeNF85QzXdf2otw/nV070gFprJXewx7ZoWo9BLNMDnd+N
WXIfC0oPTtWeM7rUjWI7GwHg0uF5mZV7zcv8RkvuwLSDASjWRVrdNAU6BEpbduKY03pO8zlD0rl6
q2YpoG2zfjZKcpkV8YXjzMfCTI+dpwZLU4GI2t5YVJXYS7ENg/+JmShouPpjDFY7V6HNlRgDjHOm
mEGhfqhZskvKZathwEzZZVfovJVEK4S6gqsN9a54zn2pcDfQIECLjJ04CyMB2mlTaSZoX2TFu8KL
YAXDHWyMruy8bMaaDum4LV036Kb0ZgT1cWn8TjxZR7lwGdELitAsKi6Qijw9AHY3GCN6JOEXDIw4
Mw88shvA36Yuvl6/5KN//jCIhfuE425tE8T9Pejccd7qZwW1MO5LX4dLvzVk72KZXJwhQewvimkP
IJI/qBUaqY4DvRjMG0U9mubv/yYUZ0TQLqbUJcu0z+SnY+4qsNfRSy298rLwPJBMKM6UsLpUYtYA
GsDS5V5n0ZMXgS7rvq4uqf4ds4L8DauBhSNlmexjVgfMUyOzzNGjHySpe6iTF9WwgqycA9tJwHSE
BAv9UOPiIfJkKV0mBW9UWBwaLYfgBwV3yimwZfcWWSYAp6l6oIp3AfN5l3X21ZgkssMmum/WWJyQ
YBCsarWCFaF6vkvicKrvyLJHxGbjKX6cmOBbc79xBNaQ7JNW62qWcdMWKcTri39K90Ih/9ABc1Ii
cPLKSK1F+sIeziCgRA0Q8mKnUB0ZB1qAzCNY8q0TocH2TXcvo7ne6nroxjKWbuFFtIbjbElZO0ZD
esC18Ckd81Akug/GbjdGssy7dOtNU/4mti05FEJ1WQnJm5SkGJzGYFuoXLl0N9YIG6KiwZaxiYnM
/1o6zqIYNXrTBsSognp6y9VATW7zWeIps1/xRfMRe8ccRSTLwCp2ul9IjZDYbnHD1G59PTbRPTwu
yZUtg+BMSIUhvW49dHCwmugSp3/T9rJHoHChWEMIhj6whnVOwREwalOMZkLhEXqktOS1V6mfyRjk
hAf3L8iXMmgEuTCrg8IUOvP8tgyPqZccUgRz6XuvPGSpdueC9+289RUuHarEkMpk7Mx8bW+FQgIX
c7QRJprfOu/WlLV2ChV59fu5raFqNY8Kc7FT2967XnqT5MiTx7WyiebvxDXAIOgiM48yKsPg9shO
xhTcx5AF+c7Cjx2l9FMyHNtElhsTK8NfIJMLexKHFnpuAUht8ChrXv7XtiMxqeKV+wTh7JwKz9NJ
C4BYBTodC99Fkz95ShPJ8RSaUwtxcAwDctClytm3SumH2TUAM7M63rhIgqTEYDSLpsHiUb/Ji/2E
J995rRN4TGAvQp8QGE1RYPmlgKWysgT17DX6QjYghjdHUHX4XR0q3vN5INHzmTGLoXMMbFtoveWs
Tw7mD7u0PVRrWWRjzuVOKZZthPGZRbfsB/M3stHXFuJT2WxfZpYsvS6SE3U6qFRkHav4/9T22Ys6
VVOGYhWTtCQ0MJxmo02555O8HjBIRq9CNQFF1HmZBUcaBegoL0XqG90HfIGaXpFqjjTknoqIFKBw
fZ9mtFqexxCwDugoW2VB3z9cu3wUe1ys3i4JEkH2bN6WI+qBgDZcuJhxdFRmTJNSqHKLYJNzocEF
CPQl+4nGXVQO2WPupzG4nLN/T9jDPgk1r+haR5sgn+dtZl0tqQG5R+vDah/yOA/BO4xVn/3I9iR2
U2ACTsA4u0aQZVUbG2A0pqiZUaw50EEv5SvJ/H5+qQWXApCQqMTzDC8o/qxULSIuXg/XqptHTKBL
4tEv0lQJtVk5tHNqbbvC03wQxPweaP14Hltgg06wmaqt3DpM2SPgPULySlnsAP0yjh42g7ExZcMV
ROdkLSN3SucM8cG+QfYlnvtrB85OW+2MpsNoFJDC1vvzQokWFDMI0MsCEjUUUnBgybB0ekEhFOkx
Q7c1dBBlqTZ9xuAeCyHQ6ldagCS47sbsSe1IKXlwi5YUpWcuKCPReAQmQm5JKQhcCVVQu7c0nZ8t
3XBrDX0bphYGUy0LJRI80dKiLchidA4G4wk+xUPn2xibOaRt0co4kmevP5Jor8VX6SA5EiJXGf0i
f6H4frilLk0rNWETTGpFvmaNwVwnP6zBDnI9eslJd0CN4sfc6IdZ/cbT+ASbuy2r3kL4F5EvvOay
2xFjuWNLu1HqLsjHwm8Wx/FHS7k9r0iirWTMn2CQ0BBB4V8ibta6zcTS1AR/bTVQoictzcM5llgA
wRWN8uZPHP10C5H97MfMAI4bTeFVFdYVGpfaWyXfuvrmvEhCKMNgdaWgPkNp7imUo5CcGBaMTQ0G
wzgtd2DSajH5ptP2lnnhypoUhHCMGgNrCBPHFxlFVlNaf1IrRI3TfbvYGuhiUCUzl/V87ZWeFhZp
dNUUmJJ3Xk52yrhHCSirEBkCazb4JPgKA6PV0Uc5w+tpyhtGzQMuXVU2wkIo3AqD/XxlPLO8MiJ1
AgbNnPdhzC+iNA3gbT/AMzo4SecbihOeF0sE6YCKlg2uwvx2vjpsLKfWXVj946Q9Kkrgxa/Ocuin
xxLJHelDXGRH12Dc5VATPcLEcJSdOKhoScZfZgYKV1REqsbPQkn8aLpIrX9dq4qhlXiBIUuPcBsa
GU6XtEnSUc0YpKItW6oNx2VIt2Syt+eXUdBGCByd9XuoWEhwhp7iLKSd+5bd7vqEuZjGQ5wiRQZG
ExRYh3r8gQQMXv2KG1qlrEVDtKhgc2UFdzgOFs+Xl6kZissbnHUVmTKMp96U6ZPqPBP7GDv3lZGi
JOEbd/wfKhU0hDAadu6CQPNbnPUK1lRL9AeCrkVS6psEvScdplVK1lUQWsdRx+v5f1h85tulCUpG
cqyrmf9KwMNbRlEVoIrqqYvTTVrVB32gra823o2rxs/nwUUXIWM8RGkZeDm/5FaR4hl7ouJ28ooR
lvTew72PIiPfU+KgaiRVETIw7mwsC5p3Mg1go/HhxTt9KMIie2nbDcWU8/NysV/Fm7K1XJxD0S09
unNZLduoPevFT/BxfOP3I9GJCkpE09FtcHoWYnWI3cbD7++98kFLxne9VMLvQHgov8AsA7ApchCN
2hlejZQSyETDAtSJKgaTnUcQ2XtWC8mm1jjoY+YPdDSMU4ZAV+CoQ2BV/tyDA1jWMyOyvmsQ7p4G
I6ThdizGa3hPrXMoi1BfXDSLGUFJb8qP8xIJt30lkXG6LeA/mlurAphOFV8Db4ipSTZeuGYOuotB
bYMaZ75OG1Hk1NE7hG7mGIVDaJxOg7h40rL+WzjohcSpBDEfvzeY0oHTwsp7XDeZdir84E2OWupQ
03pZ3EG4Qx6oa2Hp4LXxzrCiZnnRW7A/ntptBvuYpaE1/Laa3FerRyO6//dbxIgTUKeNeoAvXdre
ArLfysGrpplfBkRwFFl4QbRDnwDobDrVgbld3LJwAWBPPx0I0TrHRGazZRjcyUmQBO2rDBizvfWy
O8O6hqd7fp1EfvRaDO7cNCpREWIHxDReJhnYyg4NCc1eYidlgnAHxgIfu04MoHRGvy3bfItJzH45
dBJtFll+kDDAh0a9J56Z7DNWXp+j6N4wMSPAhh25fuI95aiKzO2Pyvvn/LIJBVohsWVdIWUemeHb
AqkBL7sNTt3S3hW9xOMSBnrW8jB5Vygt+p3mZsKyjelyZ7mKP7W4NxMttM38adSGMPEGbNyMxJYd
mssw+lWdbosiu+5aKvsYkf+w/hjuophNq9fnDCJT13ue0PyWLvW2ALWRUydHapo+TMgO3bNhUn6j
boqRa/zfvrrcWUvw1CMmqzWL0ytK31twYE0bEErMmHOtPfynneW7qqskcgf0GSP06ySHKgaFZYXS
KSKjQZEokMudO1ur5qV2sJpoZO300jdJ7GNU8XlZRCZ3vW6cJ1SNdmunrNjRmm81PdDHu6G/1/PL
ct6XshtLhsWdvWJstYX2bI/odFkR2+8yDFkf+82YJbfZ6GGw3ygRTxj0YMxGoETDGxZW/vR8dO1Q
zy2rp0OvTnQoZqPcYh1/OGV8yDAO2cd0ECvIreyh9ryj2s7N9l+vL557eO/BqUFWm39Cj26UGDXq
loK4TmDOPqbaxXEMrGlnjsdMdhuIxAWcaSOJjegywuqn4hbtlHk25ggHbqJcmxo8eWtAKCkNBkwK
yUECNyf2ZlZ7X52L/XlJBep6As3Zu8Lshr4rIGmpXWXNpmifq0gCITDegED1pfFn1hof1a7sJkop
q+TI2ruMhIq5ybxtNF4MhqQQQSgLxnWhiwJBQMx8PV3Gcc41K3WwjKO91+djUj9n0+P55RLKsoLg
Dl6h2HEepYCo0k1GrloQ8oHEbKF7T8b1yxaee4GghetTGE4nlm7yaN5gY0AvWqbHuXmjMYro38/L
I3B4Ed9HsohNcEEJBXfQnLzqksWBxnkWxt8hgzPIRmiKNuUT4Uv6NddTj2oECKpyO9JLtz+UUfjv
hQBvCRglcIgYB8PpvoM7RR8Xlm2LS5WieA1MpvB/S4mrI9qQFQofiHUaYqjNBM+dmD8GMyj1iyp7
GZbdeVkE1hbzOf/Kwoc/zagkSpJClswDQSKI9ulFkW2V7MUzrqvl7jyYaG9Yxzviy4z4le/PcAla
zkFfgcKdudMRbbJ7f1qaZOOgBU6yeiJFgy1Hph9IKMTjPF6F4KkDs85SO1PYL8PFrMoy1aKlQ0IH
L2oH3H/Q6VM1sNxkLHUQdQYJiLAxcxnze+udjmBSVnt3ZvLuGuXh/PqJrAHoyFgJO1puQZ95ijjA
9Z0wnwxpAAp+wbH1deXeKmLfmhU/tSRdxTIwzrFoDVQyFBrzgasNpi4HMz32S7adNVBiS64/tlK8
7VnLxRlSVvnh5qzZaaTXKqjcMOLJj7JNWYZ9NKAU/FaBE35+KUWquIbkDGs35eM8DvCIUWZ1zCvv
x4AGY8NMZDlWkZJARxAXBxM+akE5JRkXPE5iBaeYoopRz59b59lDbaZz0NJ9lEhca/E6/gXjSZzr
oZxrRwdYEyf7qajQdkn2mPt0SM3KV5zlt25T4ruKKmsUEdmqlZR8m3aiZpOdsZLv2nJ90j7RWPeX
9AqUxJJt0yTrqXNaSSL0345MxElvfiaa2flqbwV1Pl86Dd2UqhFmanJD3VfVjsLafVLUZpf1uj/Y
043ePMbURJYHE9cwbukbCsWoJEGehcjElxocQymMxsHZpHa873sY7HT4p106ib0WnkqEPv+Q6LLh
UacmQOtREmsoMKG2+thHD4Nx01W75Vc8v3xDHB2kdhqjjPzSXDt57ai0C+xnnpnBjAeh56AJUZYW
F0oDLwBjmxkxIZ8KwOT6MmlNoKh2fodvCXJMWIpA7FIW9XHQZJeCqJAEFWyfeJz2LPWywJTBncKz
Vvc79deSvNUU88mJuUUi5mrR5sdIfXL6LrALGXO28JCswDkrl1NlLPJ4hEFViwvXeijV6CFPlq2D
lf3G5q2QOOPWGNqCwUFY1jrfo1xjzt6IrB1CKIzHmixBy2CgP/1UDxs6jWZfQZg0+dUZoVtt0x4t
+TLWH6GZ/oTh3ZMmT0urywGj9uiXaeqAsl6S7xzdFQinFd7gjXraMSd7eminfdHfZ/HhGzuyguD2
XqmLGGOEIYdmQQDMMtITlCtLjKNoscCXjDcdbDHGhHN7Epc5iYwaIHV7iVkLXXuZyCYuCJ+OSPzA
ADEKP/Drne572qhF7lAVTo/7QebHOHF8zGBAj+U1gZ2gma9nD275jfQI2Nk/UZkdWcWv8HCZPcx8
wcWGoQGDGtiogT6/QQJ9hkB4+qMIFOMY+XqSFol0nE3YVZPqT7mB10lqxO+EWqjuGGQxG4HZQ02X
qSEqr8H35v24abYXe+hxPhXtFzqZQ3vOD0o1h67V+0b2cV4ygVacgHHa7dBY05MJYGVxJLSD7+FP
kyRTJly9lUCcemOeyWJoI57cC2piFv1JL+5zdKMmyq/zsggcnBNZOMM29YraN/iLMfT0Cc2+W2dA
BMprw871rmZiPIG9fGNnMvWTLSH7+Ur97EX3xqlk+4V0o43ShrIGPabERLBv55zgE9m4k+W6JAYL
K2SLQWRQupjbPMjKiGRycMeIIIRHixhyZNS4QAU+egg8CCKb0i3w0U4kYT9fLVeC0TM1phlCG5yd
PVy6w5Z2OjtPvjWUQS3RCfG6gbIQ/JV4FvE30VBqpeX1sN7NXIdGf9GmsoFEIrcBAv2F4G8hq+9c
VmONqEXik8n3tEtqBSBscUCkTHOfaAHSg7YMVmwlPlG5g5t4ozJoNVCL1vJ7464sXxt6OSbUj6nk
/ErW0OHOr0HTvG9ZJMsGsfw071xFdpGLT+6nMOwLVjpRK2Pd9B5DwNvOnXwab6ZsV+aM+B8kzrup
2p83FbLV485silQaXUoAgkAXjXfLcptOeUDScDLeziOJT9WnaNzBnSqv7EoVSKBwngkiTppfaZIC
b9G9e6KC3NFtzaofSMocoRl1nKGdvnTV24A2v1F9q7Jw1v1RRrkkUwruGKMPCvXJJuQytGcSvUnD
aLJ149wVrR3BUk7x+wcv+anM0x4UYi9DY23Pb49s6fikz4DBCOPClLuJTXT9bEGx1McgdwS3aXJl
V2GlHy0ZH5bwQgSDKhhuLZSHfo1z4vKPdJhAd4rDtFQPBkI0jvLhoDT/vHjCXfqL9CXe2WmpWhIC
pLlDa1FX+03/Hf1eIXBPztpxCFGZOe9ABeuMH5iaFMsoiYRXxgqDt3Vu22edgT2yilcbc73ja6Sp
aTGgTx41p5IlE5oGRkjuoC4aTPOcadCUyWnRJYuzpN8ZWuFrbkj7S5LeNMru/OYIVXyFxJkG1csI
yU12avt71QotdeM1MssgVoBPaTjLYMR6Wi8TpJkU+AzjRjGGTaVvtGbwWy2ouwmTQsAbjdq357x8
rcdgIpITJvsCzlCAnw/u5QAp+/qXbXwgzXl+FYV3x2oVOUOxFN4SlZRJWD3H072nYUzGbUQeqRWW
PWYyNLIiaImCeFya2FqqyKwwIS+IwcbmqEG0BFMM8q8kGGXpChkUd7jsqdMXojFdRMhMYfv1I51/
jPnRktGQypC4I2agW2VyeoY0KahavUiVJNB636Yf1JUcMKH1AyMwildBEInQ5+ll3y4zGF7R3hmo
7osyYEiE/T5Yt72sNld4ulYw/OnS06KPWYxqcX6iN2ScLu1IElEVqvYKgjtcgztqxGGPp8l9SIZ/
ZvNwXrVlInBHx8paG7y8WCm9ynw1j0OV7Izon/8Gwp2f2WzdaWTrpI82JoqV6N/fGfGP/wTC37Jl
12UDnsp4muEeyvTNoli+k8qI2CTrxb+cu9HIzJ4F8DTnKTHf0nhXfINFChv+V3ldzhduXVRiuszt
QYN3YI3P6dgGXX2Zp5caWunOL5rQsq2wmPqtvGIl1ZPcaYEVNz8jjOVZ2uJZzQyMs1U3g+eFbVtu
Lbt8PY8qvGxXqNy5GQbNLhb2YoqnN7N5UkBzPXb2ttA0ZJVs16/yXDZeUmIReNbJOhmjyWX3+9CA
3z/xvWgDbilfkVVyyPSDO0+OXXUaZaLp88GlYTm9SHndZRDcaRq6xVRx3UE/vK1D76viXVpiLYHg
g/xt5Sozif+s1mNBbr3+3kwlhk0MgVJxlkyEn8obtsKYWpUdpHkhfpLt8+gJxUPn9Ux44xifGNxm
EFuPqOYCIy3mp7Qc/JSa25xGftPUr5UpK0AWqjXy8WDdAmMwwgGnh6ntLNQ/GbjgHPQvgFbM98h2
7NKwbY5JdlBlUWOhSiO7bKIqFM0eJnefdtGSe7MDuFR9Neej2x6SOijdw/k1FO7TCoWzEFZeIABf
zTg4xiXqZVT6kigSCKawXwJP6KPBNFbIgYra03WbukK3yxjB1QJdZepeyzc92AZ1GvbxznSov+Qv
35BpBcjZn47oSm4okKlwZ/3Shl8SRMRCnkKdZawuwuVbQXFqvrhNntFlQRGFl98tVRKksXNRUEl7
nlAVViicouvQ6T4mQLGLnWuAyfm2VK8tWWW6YKAEKxD73Cje8thgeaceYKYlDtFoWKidbyfXbbOh
9fOIPuz0Ao0maXQx9vdzBpKDrfetB43DupLAgMJYNjldMUGxOdksEI8IuUEvrfnNlpkNoT6uMLjV
NJApNy3EQtmjKTHCsnx3hp/DstGiX625aWWdpMLNW8Fxq9or8aB2EUQyzR/W/KHpj7Z3IY1CCB1J
BwzmoMBE6J/nH3Tnwqortnf9TIOxfU8iiQ4KNX0FwK3aZCZm2jgA6IZdXh5ByQRyk/PnVmRg8UYH
eyKz6UgMn24+mkaVxI1h8Yy5ru6bZDh6FspBFpJZxwGNJdexisEAutnLJoaKtghlYy5qh1C7+2WY
q04rankVhcGw7x3nDtVJVL/IZc9Y0QoaYBk30Hmuo7+IUwSM61GaNjHY8dLDCAw/sbVg8p2xO7+K
Ak1gE/7AmYA+XhepptNV7MExrKQu5qSr6AcFWUuk+uBhk1EVsYPIGfUTFO7eGL3WocQGCprab5sG
LKhtsQXF/UOPuLWNwPV5oQRrhxk3BtgnGEcMiKVPhUqGojBdyiaxk2RTd/2HMdDAVlRJnFoIYyDq
iDnXGMbJu/8O6JJBD4Ap12PW/KhG1LFr3a0nY9MQlcsjtsloxaFs0Dn2GSu33Ent0jITzJ+O3Mra
uG2e3at28mPJ42yTGuSyjJrrPLNfahQB+uNiX0VxafjqsLQ+jVrvkPeWjFVGtJ86Biezwi+MEOEJ
BMZRR/9wi/HQrHBy8urFrwZb8x34uwEGKCV+ZssI2ISQjO8HLfZYb57HLqFOjNGBZRlQuvXIMbI6
/HubMRa1kdXli2K0GHf3icU5U2Zqj5ltAmsGJWuZ7Ksx8/s0UJfrYQkN424GnUCnbM4rrS6wKyeo
nNbamJhe97QAPUGZM34W6mRXulb3b1HkzlfukBo3WmRbv6OJus02HggmZxa2Gh1iVRvvprmokFfQ
tRaJTqoePG3sxqDveuTuGoNoGOapeNpH0sf2ZkpjGJYBddfUL3Sj2Ud5Gj8llTkXYasMyTaNRksS
txWYa/Ri4USiVBBttnwBqaHVk6IwAuTFwlA144F4BxASJuZucq6qUVItKDqZazDO+Z5iaK5CAIaO
WF33J6VTf2toZL4nSlq8nt83GRa3bXOq5HWbA8uI7wfz0Gi7KA++A8HqVFGpbDq87uuNgXYIguNW
WP/Q6hYj36UDrYRSwJ1jc9jRgc13rxOvztKpg5FRrXmXT6qPVAJimbKqI1EbNAqrMNMb00xRnsbH
M/SC5Dr5s1pp7c+z+R5XHyUpLnU05pG5+NVpTqCZWWCV+X7BzJg4T2/PL6bGNoS/jAw24xQ3g2Vb
vD3NC3XQOoNtGGYPbDA55kX1lGlreehxaIsMk6Qt80Ht3MJX1fSCWqny6mTFfakRewOGFEWyuSLD
tv4cZhZW5r20Gi1dmC0djcSfMPggX66tIdDyY+k9nhddZGEgt4Y+MlxOGEVwClWhzT3p86wM0HiE
hgcSR0FU4b2jzXmEV0+vDLJEqxARJEWYhooyQVzHp4iqW025wRAz4/egbSZk3dtlb8tyKDIYzmBH
GCs7aQ1g8vo6ysImuiIZ1EvGFSDWXox8QyrQxi3ksb1c7RWZijzt27wM4tzJtmNT+5mXXWbz/OiR
l6QqrrqCBK2avhBb2VbFcrD0H+e3UKgtqNxlbBoOK3Y7/YIx7svRtHA1DSYmMTxDl31a77r0Vymr
ohEa7BUS57NhICVma7FLsBus0Mt/JAnxc6r6Cd48KZkOTTRJokAiXxTaiXk6oP7HDcHJpsTz2Bns
AoRDTP0yp3PYEVNWyCCydCZzW1AuBu6jLyo5pyYGPFZYwTbM8ieKLlp1Cc/vktCDME2Vdf5gsqjK
19+iVtUxWwWOrhqDbehI52fibrvl0gXHHyZAaE7oyFqDRcXIGG/zickZkjiNMOPEA6aOkUc1xhHC
kjU/R+PaiLatHi72TdIGMwyd8qPVgwI0FLUaDuXBrg9eLXPBBRO+0ayKdBSaohkNE39UvKpnj3Z8
zVRfxJ5vmb8jetdkvhL5k/5gR/4SbzRMsulurPzCqMMIja3tkZBNM70W6abOtue3RKRcqOr939gU
DNnj3lNaVCqdofVlQEY6+ipzUIem7iVNWCJDZKLiEaPgoVvg1jo9nh6t4aQXpAws9ffS/2hsByR4
Lhrpv1FdicsapLOeidgign6nQCTve2qZU4nK64OH/V7SW1fWRC06KTB2KAvE0FBQ93DGu0/dmqAZ
pwyq2do7Vnvl1Npe0XqJs8ZWnr+PwbqK1xKIURgFy6koU17UceGhFmvqKy/1l0lTb0Zw3B07tS1D
oxvUu5Ho5FjOg2oHc5lUL+dVQyinwXYL6UEDf04/AHOb0sUm+AClPcTjqxrtStl2iYwpOvP+QrCf
ry6OtjFmvOwA0ZYJjsDlYm/SJYxHFcVvLmgKN9+QCLQkeNZjVfHnFM5oc6N3OwY36oFZelcJtTZz
utyfhxFKtYLhrl3SonBhaKHtoOIDP7XTdX6lvNj9o6ccGmmxL/ttX/RkhcbpiR6n+mJOQMPDfih+
LOCRSson3L1J8zK4m7pWffe32h7Av+ifl/OP93sOmrsL1aWPunrGejbJTlePY7dJvKtKCcp2Fxeh
2xa7Tj3aTef35kfkbhLzNekOEblNZTz8IvuCdzdjc3cs9OZyG2u1qGy1XKzB/+PsS5rk5JlufxER
CDFpCzV2d/XcdtsbwiMIEJMAIX79PTju9z5VNFGEvfGiF86SSKVSmSfPMdIJvX2oyg2PP7Fx5bG2
dCKQsIEuEuLyeHfMTgRTea0JdCCg9E32zUB2vky2OqIrbrp4TUL+DVPGFpSl0CW59NPYcXupmumS
0KDQ2QqVOL+NvumyQEdWGu0Y76ItuGTb5xwpqxf2BXqleBOIpF25sZdWDPU2cORPBAuo7V3+EpK2
nRdlPVxZ7Rj9WojANNaA1kvH5dzGzIEzoPLqZJwuh3gzekFmHawcpJXlDmwD7j8AeDFQjeoXNNWm
jzjb2g4UobgMsaBmxPXQWWmQduk/BM5zG/OMQxgDklHYiHyMFkH7kRwtmXz3hPyX6s+5pZlDotXg
GXGB6y5/leW92z4M48lMH/jL9YO++IXONm0WpoWvaiC68YWi7CWWdpBDP9reQGBttPfIulfCyqLP
4UWPBxny+Q96mI3Tum1OpoEf59ZP97n15K5RJSzFC7Cp/p+JPwfw7N6xNG1qVU/7pj6P6qclN6QJ
xdoY2FJudW5lFpUsbmW0U1hIC0Vsq5MBGCyuf5ilrQLCE0POUF81QSZ4eTydrELJ0SFIReidg3FT
AdDpWil8KQ/5Uwk3EV1RpJodTzZg+kyi+YimCOqK+xHjmAJvHquKg6Hat0W2SdX2+rIWA+C5zdnF
4hYZcREFEc/jMbCLuzZuMEp7a4qd0qGM78GdAcjcdaPTXs0uM38SyTUdakLOb36HGG2cNkDF450A
8HM/0ZWJX6lGZ7X5TtfYD/6UFC6NOeDOnep96OZiTnAWhpw47wqvxyxm56A3jSlI1+8DnW17z4Ui
3k8fBH/Kea+IDlicIE/eZVoEGftN0/EkUCLq5MEe7pj30ppH13+OuwJKpPnGA9/OGurz475MP5VB
HRvf34EQ+qWPmZzpahT4qbnccvVMxBc83noTb5Th1/Uv8OG8gHh3UiRFXDZBezF/gkoG7luZuDkU
SaEXX492G2T5uKZ7+uHMTFaYM5VcEWE+fGcMvFduwdGewJz7eCNL+TYwC6Jwhfv298uBFKUFJnuK
DtK8ptfTNsrYiGzBTOJvAuWy0YrD6yY+BGasZeLxQt0fXSoyB4gUrUFzVD1Q0K2+aPrSjqC6HgIS
x0HBPznu9rq1pZ1DRRXPOExxWN6cGYAWlc5Gp0GbijefHBLf+UnzicVrjH4LboAEfZrONTF7xeZd
WAJlMS7iEtmPST97Wj5JZLbXV7JkwnII5vCmoPnhmWgOqhsYjlSYVJ0bgqO0RaRZo8H6cHAw4Gfj
aOM9CpL8D+XphmPQGBwBIiQ5UnD1Sos2jJ1nw6bhSFcayx8uNNhy4ArgBrEn+dPZIeWR6JnObeyZ
jyLCb4NsxPjYDZ+ub9uSFRfsNyDPcFC6ZJODnF2b2lEofpXOVL4ZnlL6HZNKp6rwoaA4rgTjj9Vo
LAjM4qhHTUcU5YlLU7Udu6LwYKoBY/PQ3fQU3ZgDKw+GfUuccBi3LoolqfqSercALf39OvGwRwvP
QVMGpDGXxlkHntKqFwWIuMsw8faef8R7MkBLY8XQkh9CPQkOCOQ0ZpdnGYJPIVfLNAwB4BVCx/x+
iO2n62tZNoF0F/1ICyyns7VYpdkkNugLIRwbHyupMDPZVz+u21jyiwlFjLcX3gmYoL3crziBmgbE
Vgs0sb77KGd5XxqIFpt/LSIHn8AnMeF58HQ89mZmujRTzG2wW/ZtWbOTsL0NZu1XvslClLuwMkt2
0e5QlHBYaSoM7fMGYgX2T1GIlX7L4p7hHTLx+qMWOh8+abmTsrKHmdh951CHzKOglpvV4f2PY3HT
pv3PDi6jy02r3LZ0UgU7eSE3Rr0fh6+0vBkTK0hcSKKy+xLViTrM16iKFq6mC7sz17Zqlsd9NNm1
2y1G1cKiZ0Ga+9t+sAObPpuoE/y1F4JEmDjAOIDcB1Wzy5UWQ8TboYVuC2IXeMnKgLcqiOinaG0Q
b+HTXRiajtxZGHQByidUw5CkuXjxOLWOaO+Wt7qpvmagm15Z18JOMrSlAKVwPAyOz1EFnYGRcUIR
JGSVfQKv2aaNuy7AHFaQmsWJoigX2daKzaUlQhQJ72PkFv6HgkrmETAip10R0sEFyVkf9MmGFZB3
qFcqwwunDRH+D/fzdK3Mq5y8V03tewgdqNHf+KJIApegF0C9NY6XpRUhefUgeg+1OtRuLz8a02bV
qwwr0nj3c2jxsicKSZSGruzc4oLO7MycIzEN2+15j1gYeXtO4tDyxCaT4+66sy9dkOx8PbO7eIgS
VKoE1hONxSbLRpAk7qS3dXVYuTfQVh/A7FsbG4nhzW685fRvQT7TWwnDjvAQJNLOvG9QgEV4miYv
QoYxAmJkW0vbW2KVz9eXuZBDnZuZDyxEdkdyI4eZOMEzKPqqaP1im+WmtcihrNaccdHadBFPJUQ0
EWfNED7Ug6H8EYuCW5hVeWva3zn/Ffdyk+D1c31pCxczWJ7RBUI/yLHtuUMSQ5pAC2FplBePhqB3
Xv3tuoVFVzyzMHPF2tRNLBgseGkfFnEfjKR9hkLFiisuLsRxwJEA9R0k7rNda3mhRQ/5nVD68ZPp
DS+Ur43PTYfz4rn852UOhSYXL1AGmYDLw1ty/FmUDpx9iJ6jCVdVvnoodthV4L8UxRZcl5598n6Z
IOQvRLu/vo9LoQMKPKAVnlIca85RX9iyjhwNEvXUf0hRiyrUD95tI3NcCR1LgZ5Oym1Ypg9a/NmR
bhyhiMUBSUqpdwIqejOUbhDpLGAs3/c+CbhYu8rI4tpQgGD4gMyDzNDlzuZQSiyUbRdgl6Sf7Xg4
ulCR++rl9LZqnVPRSTcc7eTVbbxnrgYVOFlCjo2tzJtI1EfHbuiuamsRxIS+Xd/1j90FfHSgUZAW
Tx0o0JVf/jT0v1B3hERGWNcycBIaKNcO3B7dFDWkR6uMdo4CtZRRd4GTZiEBYsYpThkmPnrA1vta
BbXz26nXBto+1MPws3Cd4/nr4NBa89IN/D9SaYKEumi9DXqlWPrvrJL7krwVY2iUp0psru/E0jn2
HOA2cfkzaKPPvL/yjBad87wISS3SQ23mdpjRZDiVNHf/xRQWiOyJgTdxfpZtn8uoYFhc2YwnptGU
HsxX11Mv11f0EbwJGx6sAMmLDscHsBEanq4wp6x0hBSolyVvfctPsv+lo59UqaOftEngdGaIXu4L
4cPWAT36xrBMaMt0ZCXhX/qgYCjHvqIP7jhzxHRTOURxHeGpqUhAZQjCw7jeQXYiAiRPs9cuWQmY
S2cODOxQRcXVCTL2+TsGPLXcbWJ4kBUHUffd83ZFNYZ8DR+3uLAzO7OXjF97ieGXBsr2/Vs7PPbF
0XQwboX2GDuRalepf8jlQOQI5q4pTKO/cnlgOaKkEakEB9YHtziq64ahAtmQlTC5dBzOzUzbe5Z+
222bSgJVUBAMPSqvDFoMWvhrmLClWIzQg880BUZr3vzGORCCdRxnbriPkpNowHjtHZi5a4ttsqbB
vbiiM2OzD5WYTSlFnuJ6s82grm8tvpegrLx+5paSm/MVzSJ9JmMJJBtWpJud4XVhgUHCpLxr+ZvV
/4uD/7eeuWpjj+E7lccwFZMvlX8YsqfGeq3XtEgXj9GZldn94DKVDdKBFeYfWfVZVw/Amvdq5fJf
PEQoacAP8AbD6NXM2+K8T7nAYy+m8YZ1v0yLo9r62ZMgcTD4jlAz9PVaIrrkEBOVFoMwDZ5F84jP
09ISjQeHQBa/ZXkdpE289dfo4f6MyM/TqnMzswSxJeDLMRjMGCiXv3WZ0wPzLHmbbnvH0y82JgOj
HcipCycARKQTm4qw/huuZLXRjMQY4vP73AiREpDy2beM9tPQET6BmSTzAJlu4Go6AdKJNaX3XeiR
Pfduk1coOBD/JY1S9jS4YOXpRSS/1Phf0I0FcuM9r6HE2yZlnO1iw+5bNJvAnxEkLfpdT41CQW2D
u0mCxDWtQcJtUTPbqWSgxVYpZcudJ3MXpLUj3cjGqx6rqB4hUJrmTR50VeuF3uBUuxq4BRG3mHOV
dlnkwZB0FQs0+oL3rGnJGLjuUPw0IA36rs2s5QH3AGEMwE+CV9Vgj0ipZR13oZ1WlnuT9R7dWF5s
vqi6H9JTZ2v3kSSCDVuQLqh46w1W/gDi424D3HLsBomNOTQ7B4YJs7Zm9Cmp2OCdEoHnYpgq6j2Q
RjTHJG683ZD2CNrarlJzbxcMKm9Mp96bSuu4Dbquz/ekacudsP2q2KWsleg2clvdAhU5fIvMJO1C
NRgVpIasKl9JGJYO4bkLzWJ+M6oR8n04HgJdMxndd9Gzh9qSn71ej14fW4LIGNCEmkiJUSaANNXl
OZSpaSdkqmPq4aEoDyDNS82drt9AShtU6W3kHalxuG5z8RSemZxdNIPfS68wUHhpAEOurDpBFaR6
iqvxy3U7i3uIviP60YCt4cxfLo3JeuyLHHbaoTkoYP/LOn1LqftcdWrlcy1v43+25p3vQRcQ7p0q
zqN7IP53Uz+1Ng+1/82utuO4lRmk0te0YBYeGROsGn0jF/V0zI/MIjUQHnEDgDBqgewU14+lOjXD
jzj5psswdXYaB5a/4pwHmGq1qjYorQ3P3tv8+/Vt/hjJL3+FdbnNmELyozbBr+gzIB2jl0Znm8Ic
wijZqOpzwkMuV96tHx0IFqkzoZInYuH5ugsHc608aQuoEjhhVRs7m/tHFa2ZWajxwg4eJOgmu+hq
zhtzkerdKh9L3ITKfbEZNH77pDm0CbtxKZrFwspUmFA88lreHHkJcSxwcvt/71rTr3AnBmU81jCC
eLm/EQFGmWTI6UX9ibNfWaID2mBXjS+G+Nbre4wR63GtVbO4xWdG7UujpojyuLHxUQdnPKTEfW+T
blc29koWsHBusLip64ByOmbO5hUIEz3CqASZKijYwSwo7hv2KnDziwcfuhfNVsiTiNbAwh/jwmQT
ncNpS3EPzo4NlHM61jVwHyl+NTIDZfl9FGlgCX9dPxiLe3hmZ3YwIsZKnXtYWyNvyvx7K7ZEPV03
MX2Gy0zjcikz32ggoQOYCpbSNk+jWQYDCMSvW1jbrJkj+Jb0nKTAIjKgqRG1jxn3nzxw+GKuZsXU
YiA5269pP88eIKLyU3RVsJjCfzC8n4Z0g3EAeVgUROROkSiQoNP5+9XhRE3ofEiBQJfh0iSjdTco
H9Veq7UhufOg+X3R8x1d41VZcoUzO/NxNJVIqs0EdhJS3EK2Ztu6+WbM45VYsWZm7tlD3tudCTMd
yEUYxo0S0WwqsQY7/ziYAoERRCLPhWbsRLg7swOIV8VNHxXQiqsRfRMV2TsLFH06GLKWihOGrlC/
8mvjnpu839JGF199JfpbS04KkKoB/uf6h1xc+dkvsi4/pEcbG4k0fpEf9S9lRH5Kz9545ct1K0se
er7u2XEjhRwrHWF/PfWZtRVU6zCAWj8BdpCYI5Kzd/TPr1tcXJePlzJKYlN6MbMYVzyrEgtFYM79
aJfWpnNT0j5DkzFfIwhfiiWYmpowNcBOIh283ELou7VxOZnqOnrXROUjL9zw+moWwz3aUpP3QOQV
UueXNpIoS9vRRCegBhd/3GCY/mCZh7bfgbeNsEfLTYK2W5nzWYpg2D6A4VH3RJI0s2kYDLIKA8q/
zhAHHmnDfNRHYdtbt2hXvtbH6gYIWFDInqBusDbHdHkZq5uRWwVaeyIYjc3YxwFxvzTWqVA3RfN2
fTcXF3ZmbVbe8IRqRyFgLUG9y4feuNmi8iCDco0vZ/G8455ErokSLU79LEwaY5PLYlqXdkwQNbc7
ysSGA3nZSiNMPbJR+jNQ3KGuh1OUe7so1Sues7RW/ADUvwDLmrzn0nGEKCtIYuEaSvAOjcSPzk82
Auh7k/GVb/ixnoNAjfop2pkQ0P2Ayxv9jFV8arBzKU8okSf7SPjdptWghWWjRpPdSazX619y6ZQD
BEhwD8EistrL1VU9qxg3Af+NXQhuNSKXYVyraNtV5Nd1S0sRbILngalgEsScs9MZBZQImCFK9Bdp
/27qUTXQOSYe5K6k7X8rXS0fHB4rALfQnsRzEHnpygYvptWeiw02waQyaWdfrtbhvRsPmYdieBEF
lCq0c19qFgzFV0c/8Oyhsh9cdz/W7e762hd32UXVB0KwqB/NMerE9zo7Vi6SJeObYUNSCK/4Il55
myyU4AkyCUCHUfv2MLQ5CzduEwnLAZY09KwkaPS+LB+H9MkVqP3sE/dgyjvL2o3cDhXyDPJFmCs5
wNIX9oEusOFPgMjNwx1mi/wCqMgJmPTQ+2o3IW7bR8e/o+lRDTzwvGbl7l2KeuiugQ3KxtHBui+/
p4+vSWSOFQ/+t5HgYfIoAGaXIKLyhk0s10hfFw4oAgGefVNAQnd0Fgqsuqwwm1VP0G+/vq217UMl
rklAq2ynfEtRZNq3rS+jlVUuIANw9aN3A+QaWG2Bx7pcZplaXS4E7BZ6N9gPygl61mG+uMfDF5oq
J+aEnf/bRx8NDYoNcf6aiH0arwJGFPOqmCzE8b20H4GNxVAtqI6EdaP4D7t+SuKf10/IUqA/s0Hn
qCbtOZHjNrAhmf1kWV0goGwwmD9SJ7sDIuGAnvrXNtZfUN8MrI4cq2yNfnTBmS5+wSw4oIyD1NjH
LyihCMzAlyblPdh2bt122DhA2WmersWj6UTOHlFolv0Rj8BA4AeAU53TrBuJXYZGFY/u3nBU896N
cTRJAKr2OUH59qk2DUfsLAcyr0HkeHF8R2I7O3hV2dNdl9vmTcp8tTYmtJCSgaWXoinqAL+N5/Hl
J3eHvhzKqcDgpM7eGP1dxddQUIsmcJYwgAC6jA/SPb0rMu1pBGPwah1rC1VfoDKue9XC3U0waD0J
TE4vhg9v/E7XbOwcvBaEOFh1DBW/u4ZbAUuilU+5ZAmVvomTDrHhA8DULdM8s2JEeJ4qVHvjTclu
nPIptv7FDnI8UFdQMrVcL7+Ln/u2xB2A7yLMW2L+MOv6IAdE2tRZ42lZPJI2euJoOIJOEFWSS1uW
QSs78bKJXu8+Um+oxwRmciB5BimVB6N8c7vbzrkR/VviroCfl47iueVZftkXVsOTBlmJqU9efSLF
0SJG6NB7L3kj4+G6kyxlBQDaTyghD0+dD6JLqZ3EQptlGVbMvrNL61n3r6yvtnFc7qq0DVqqTqaZ
3fmGfyNJ9OW6+aW1AsULCQVvKhf/+QpntQfetU4HYbnp1maftJMEVkmhFu1DgM18h7PetvEaS9Xy
ipGJuFPdHdNGs9NtDJomUYwVD5nzOmDQ09BkM5A2CzM3vnOJwuQKFFcrGjrRT2GvjR0sZSqQncKz
Er1yIHDmFwqNEuL1LU5LKe/8Crn80VcSTWYN/PfBZ1uf7Vm0y8FCl6IMuMvWyOeWXoPEhRLrxNaB
xHc+GtQwHskOcumhSo8EjagWwADb+J0gNrjGIddHOzpB8+jvvzSAu6Bj+ANMmEP6gTyO62S6YDCD
nt5lbSMg4tNWJyZAvd7xey+NvvUZa1ea+EuhCdMx4CjA6AKq9vN7jTZFzq22DO2aQqe4CDwXyS6Q
PyYGPq6vcCFBAhMEWqvg8QUOej7mGlV2Y3olZuN65wfEQfbgtNu0eBeytjl6IMm/bm3pK+I9AWAL
TKGE+6dLcXZ0ujwCzzvDkwKpz8sfCWsLQidmtiV+vVfysWdm2HfRLkYb8rrphT29sDwLjUYJtRs1
PWZk9KiiNGwLwJbyeEe9Nb7TpSgMU7i8JrVLuOssxzX0iLEXgfjQjvTGRi8WN/9dYsQbWjXbTNiB
qJJd6T+PbnI7KncvzbXq6OJiPQvhCcVKHNpZtChGXltJgcWOxldAyKQhg6p9lugyX9/UhUiI0RD0
GsACSNF+nq2089E0xplEmku6m8bvtwjVoVuTH0bRHgwxHPNoTWxjAZI2SUHhQkUvC4+n+ZvFrjwP
tL+wmfGjA74X54bE+yY/4O1Z+Idk3Ajvs2PcFWxnpW8QiwqgnOt4D91fs+gir8aDAiQquL1tKJte
3rUdZUNiaPyOFNWFbG/TV885+U2EVvwty9fEORa/6H/WnNkIQT/omqPRjp2GMEFrfkatYTMMdlCt
hbylgIBiBvYXFbeJQ/JyWVFuadV1Ix79ZhsCXYFmS/dckOo2odnzwJqn6x60eFgQfCyMgmGODo2W
S3vSHEyOt2IZEqYB46sgy7HLOjOwqxOIcMDkG/HnqPjEfZDc8dfrxhfyWVSq/rNtXdqGgDcxGzTN
gVuMgRVP70iyhludTsDsvQDYJDCDqH2AzXRev4DUV5X4Eagkc8Pf+kABOKZGFsiP11eydD8D7TVh
+TDKOmFWLpfidBh2t1s0c2XDyj2PEzsYbRE/CT9mm94Z8n3SlafUc2EcIBqp7TRIYo3EMHbeQK/e
HvtS6JVk/s9FNV89cKN/xF0w5zcHDAiNpCHt8HEbVPL7nAQKSta18xNzmbe2Oc2yIwDb3xh3g8pp
9nbXhOBWP3Dx2PjuIXPaIELvNHX5beS7+8QyAKlf6/Atb51DPfB3oEJlz2dWetmlsWbwgqKHmHx6
02XvaRQASgKu4rfUro42fyeSBparXi2R79K0CRpzbdpjyVHgHmDJxnMEye0slOKDEJ6hLRdyikEd
bpPhADAykOmyWUnVly3h3eP/GVf8k2qe3cGo39V5Nz1hU9s6+CQ5yD7furm3v+6SSxELnVp03h1U
gjG2fumRg0mNFIOqUPYBFqWSB5795BgptteoChYjyASexnMA3EkfypSFxhhXm2I4uqyjyNom0PnZ
OWbTIpEw+rfe195n0hFyEIlX3UlPkjvfbcitXVQg1SMsXotoUyieOz2byi8AsmISdF6ghUizRZ1J
qkI2Qc/vovJnZ/y22q0H2mRrXxf7fO2cLW31ucVZbqOTqpFsEs1Miy+1GeYW6sL6QdG1Rv/S3XBu
Z/bIi0RklrKDHcPKd0YN1BkbQmOQR0htQyklWQkfS9nFubmZByma8IErbGTevo8NWACqF8WfTWNT
RmVQst11fyXOFO4/fDg0DdDnn5ir5pnFmIrUKyjuWJRAAM4UzTA0e1lLX25xZNybprVquo0Bqt5p
qFV/MqvGejQcpulN64kevcqKDDs3oxD26FAoiXf2qPWTpUvTC+lIaf6I6FPvK1XY3oFH2fAtI5gv
CB0d020yxgiDsR9nt7JmrdpYGBptwM/fl8l2cIzmJjdLY8snt6WFFYHipzPJT9aa8mBJlemNKZjB
N32SFl4oh8i/d4w6BWyQ+NUjjW3ztbZI/u6YAnRcBvFHZPnSjM3Q5iTCKGLZpsdOKIq8VTNwtGGK
Dr/B7+57L6JOkJtG/I00vNqg6tm80JqqaqO7Wm27tDW/YnYBZ902uYvJIBEn7s5JausmVpANDtpK
tXkopHKSvRQABgDEOLFKkNye5rLMA6stEHu2eWeNAasG4DvSoagRmsB0f6OyhIG7ME79nyUUOULd
eex3FlfkKCjje1QJ9IblGMa6AageXE8tyPqCusQmB7FMdbqBYl8XAj8I5cHOtMWvutLdyR1ZKcFl
mUYdSGU70GlAmcX5LVjUfiO81X6YxbL50UlSvJRQjooCp9b+pvUN9jt3sL3PXunF95DRMNMw1nmJ
4Qh7vLNBbrztmwxCCgTXfqGYv++LyBow594eRdulN6NSxRGFLutotiiD10OleGAVCeRuGwkPMxrA
KG8cR6M7Xjilv7WMnscbEDgWoKPro5NpVUZz0AXx4k1mmcZJdPDdQJdW+W41GiCYCHhBO2z0WNcb
Bdm18qka0uTWbTS1w7oaa4zvDHU9yZSV0tkOWRLv0kTJe8MZyYvdDHwECBqi7IFFS4s8Vk5fVNtO
kS4+GW1D7wZlyS1FEvwdQ+/1HgQbAKhW8Ayx8sRYDO/TpAf6bIiodD5x3DQtvEdA0TgFxVpk7ZP6
ZKkvGb+nWVCkB1r+bsaNpneuvzoAvxAQ8KpBjQdjnxOP+yyuln3LapkhM8Ck8B3mxO6d+GcG9Q9w
vuwtmNOq36ELflsLHsgcKHi7XAlKCyEQrFnA8gNRBjbveR+hMMxRJG5XAqRBAivcO3edsnEqTfA/
rEnxLUR3pMLoZ+IfpOLz8JdX0hbaQ15QZhKMDChZR2CXyDDayKwclVivodktpgvSaiXOLxnG1BOm
GDHA5nwg6SBG7kjSGqhtdQD83lfCRT/1oKPXiPIVb1raT1RVwE5oQb8DUf4yKam0QryugZqOpI06
Wm2XN8QcujwAzy1IlBC+us0Yk6wIxs5Va/Q2C5kXOpk+gDCo7YCdfWa9pVryUcG6DSVoaXa4yKJj
ztc0MBfSAVAFYkrfxpMAYIa5GZQi/SqpkA6Qdts4B0hR4MZ+9daeikvpPaASyFexk6gAzL1Tu0NF
q5hj3g979V6jT4tinMY4UdgCkw6BVDfGr0jSTAPJrezIDTQuua9R3/V1kMdxdlfExLtNZM8OSewm
2yiq4tuEK2NL7LxH0UK6WbTJWoW+aO6CLtxq+mRtRGepKIXdAszfmqC/wP9eOgXreeGYHSStKxfV
gmQMkrzY5uPXhBYBSb5iiMbKN8ImK26/5A3nZmefKZOFsJoUZjtHbSvxSrXe52uSgNNvn+U04Fex
XQCvJijNPBltcyp1byI57lGnjmnykMXdCovCmonJHc/fE2WDgx3DhBAZvnCUPFkt//s3y9SjRlMI
/KVTBfrSRlObXp9LaEn5ZvVcSONbHOU7qAus5O5TRvlht87MzAoCHc8bt/VhBvLpVf5QYjwh4aeU
BTnb0v6zcPfXc86FyIdlYUmYanXB9ztzAVGjeigcCcJ7nWzKsn1IR2/bDvaN1UYbT+iV22TRHIgu
puHWqbs2M5eObu12BPl7hGorGfOtU7sYhQCvF01O1Zpc0kKstdGD/p+1mV9gBGMwUg1rjfEwKhlY
1k+ZnVpnl6BDU6wFo6VPh0ENjBDiBIPpaeYhdgYKzkRNsi7uL9vbMm8/qN95+spUtKm7n4O91mJf
2kyQQQDgxICEQ4nq0iVtOqBuHmc10HaYjSyjKhhzewi6LA114umwc7vv171lIWCgOoAcFsPxUz40
+3wiGUpWTjwNZQmo2OA+xLGzt5AdB9ftLK0M6SHFux08yB8ohnytPY6zBmyt3PbjLQhGA4zQJA2S
w7W5z2VT6KUh+oIUYo6ppRHYDcYcACqveS9NE3C0Nw1cXxUd9Fq9dslBXAyR/X9Tc1ityzPkUQQo
dYxxWc29cuuNNbqhh9OX+9+E3LRr9CtLqSs+2H8mZy7CuwJMNgNMepDYq6s3hrzNHMTWNrJHoFCD
chqxRbdrkrow9zljoYqsFYzRQjIwwabAq8+QdKCldOmmaFX2TTpih3PIpXLQVzOjObWGefQBmb7u
N2umpoBwdhHkRm9RY+IGqof64NfOxkDi2g4ZxvZWrpyl0AJIPoYtoMSGLzo7CXTQrPE14KdpX2wj
6BRsLKN8MQa1TT2x9XNjOwzlyhW0dM2d25yFMy9O3aRPYTOHsn3RUFQIX67v39L59sA5YKMOCXTF
/DBEwPXZUgO3WDkRGBdzcNoDcOevEOgu7t1/VubnoMAoWj8q4JLHjqFYYXziGbuf4LuGB+Gj2N73
8ZoY2tLRO1vYvMZfthVxxwyAazf57OaPfvTbGo5cbsf8MREvbv/r+j4u+uHZCme3eNpyy+STuSQ6
+QMIy7Zj82mVrH/RH86s0Etv5w66iXTax8ZD50KlKKhnCV05vUvx8Xznph9xdqRK9H2IYjCCievA
Gg6k+9nYTw7/4Trbf9i0ibsOYDkfcX+2nC7tWo+U2LQeTYHUbDeUH6CbxKJP1+0sut+ZndmKUsk6
NKOxIjq5W5f98CszVCTdZTn74kT2TZVl/xItzkzOooVXKCcdR5gULQqj0SZJnqUGfyZaiM6PpF9r
ci+6H0aVMWoHoAa6WpffTMfSzy1vCk6xEeT9fQUkWs+fnGytZbDoHIBCTCN9IC+bH6sx6rVlChiS
+WdHnIx8h3nlsGDbGvWkf/hqZ6ZmR6pASc4bKExp487MrMAS3TbPb2LURrLszlnrKy+erTNzM2ek
nCYma6YtNOtdlkS3sVrTE/+oSQGmCRQc/rd7M0cUnAlud9Pu6a+F+6whKZ4Mga9vWtD7jzuM64Hc
MK8ObXqANFzo8jfFnt32UYOyTRqv1/d3MVU4/zUzHwVeFCTxNn4NlLG65hbdvMADYrSXcVC5twwp
mGXuanmbFNtVLow/HZ/5swcQEOgGgg8D84uzPMVwIRLlSw3uA9/6koHG3KrVvdEhNyHZXrMyGItm
MzRfC5Zj+DpaUy1cto+iDHg/kKcA2H55Ynr0RBU3MOnREfdIaQ8FszwoujfT7QNbUPBNYuxXRN9s
t3m3zZXosNT/A0YWI/7o40+kdbPVl7TrgSLF6nv1WRXuJrKajfYnKvT6U8SsI8q822rI4BrDNnay
d1Rvt5Hb3jViVZpkKXSc/5TZMQOgFiIzLTaiYBhyT7Ym+4WXmVnHhxV3m9Y0/+LnhmY73vrCnMax
kKp5SH+zT9SHeEAVyPLV7TtoOe5rVF9StA2StR7SUrVlEjuZBlQxnQGmysuPDVhB1tcM2x3TMqAV
ICM/qfkkyDaFEESWPiT6XvwDBvPC5nQpnV2jo42T1dWwWaOQX28trmm+cVOhABzhwxeMVKjn6zu8
dM2dr3JKic4sJiOvRE9gEcSVqXGbVSBkKINkCKl5SvO1SvUUHT5+zv/bUwxLXFqLSK1Tq8Ln9Iry
hpfyUAHS7rFf19e0dN/8t6aPWIaxAXh5WpMeurCMamQjEMjjL4JhmeNaU3MxJEKGDYNsKGD5bA6w
yS3ilh3kkEIngQDPGJrmk2PnQeW9+u53YHbzUgfcfi+jh65YOR/L5/B/pudoGzkYTuZrmG7rYaes
nei6jYBAGP8HSoVJVOoPlgnR50N3w2sGDExZsCTKT0m0a3RoxSfLVAGhN3m68cZwXJVHXjz8ZzZn
p8Ebx7wgJWy6KB1k3i43UR9GrT/dGc7/I+28lqRmmjB9RYqQN6dqtRtvmBngRAEDyHuvq99H7O5P
t0bRCvgOOJoIssuoKivzNdc68qTuVhecQPp2efsskSLOxjr7JoLWFJpYIm6atJvSOpb1naZzuGP3
eAOiUxRqh6qen+0a2Xb1tW9kcU0BlINpmkyflNkNK9EJBHkIPj7OypemCx+Drtt0/mssrGlLLX6N
J5GmX3Ly7dd9G6NuTaTMjZ3c9x0FmnAupNvL87k0IOrH7B4F+CkqtudhMqntAe7AVYwF6A9GGELs
8zhHU1X9GknNyvN3MRrITbwg+KfO23BmUSaSIEIVEmSI/q4CQtTfJELxiD7k5vLAluYP7uD/Qs32
p5LLMUI/hPIFKMmRUtN8hu7t5Lq2vxzpd4F1fnCehprNoaGlftsmhMrS60r+KlsPen7XFDd+/h7h
pzp+FaVXyT3I7VsWPSFDZa0Zui6dqSc/4LdX2cleoQmrV7SUSX2yH0lyJZo3k8WkKT8kwVr3aelK
Og01y3PawlUrC4T8phqNX5H/GqWBnemtkwtsHBCprRqvTO/iQlKoBB4J9uuD+roQ6kJUtS4LmWpH
0MUvTe47RfsPTA6Qtn/CzLImxfTpoamEIYu8rjN1NxIi6LUD2L4VQ7CFOYRXjRaiDhAaXuRsDrFo
/X/LZVhdtY1d1XI6McEJwzMeQqpqjlb2UNnaqlzJJxZeRIi5QRM06dBSVJym+nSfoJHvJ4mfbbQs
EJ6UJjE2CcpPKws2bffZ50DTkE7s5IuHqNTscxgLxc0ShYcx8iF644gBaiEoCn01qXDEGAJJ5Qrf
Wl4aF8r8VO6xrcT2dDauImupGBYT7A1WgQIFOm5axHLxpms0VAm0A74Q20BW7UgTjgq6g4bhbbU6
2NdjaJdeR+Wqc1y924668UnMJNs0YyqpERpMkZOn1iaSI+fyobFwEmoYpnEIToIyVEzOl2LosaDq
c0CNaVXh50k2Etpx+COpHy/HWdprGtRX/sF1+WBTaLSpQBWLfnxf7zVcJ13/6IFARDhHrQ8G3/F/
Czc7dTOpHEVjnMJ5L5nl25J1F7b3vvuSdq29Ku+/9AxA2hpYIHa3YMfnBNskL4K+EnVozJ0T4zNn
1XYYSU4lA/W1K+04ZrfZGi1zaeUm+W5AHRxJH7qIntxovR93kB1Kp1biTRr/TIdPnbjGk1s41H/L
hP//OLMDCcFfugsSn5FmHloEgHRbE1RbGjdxvop+nF5q80+Wk3Uy0VBkXgDz3ej1ZakGxDKkh159
EHqk2FobgbymbpGW30G4z/Idskso2u7NtVLr4jIaoNYmouvUxpym4uRcSnQj1JOh/71Ja/E9Kr4a
2k5ukbfEOgpdg2Yf9yvfxdKRcRpytlH92u3TSmcV9arcjKP1nCjCymm7uIAno5qdg76uDJ3WEkIo
/JtCQ6wRNdK2DG61KH5rV7UnlwogfOL/m8XfIoEnsyjrcZWbNbNoFN2P0r83cCuJfe+eGthVrjTP
gmfuLAqVtfq5+ieY01n02aVmZVY95Baj9atjVGyLsAfJ+CQ0P1zv1fRvsvxZMrel8ilXV3LKpRfB
WeTZhxIIspwOJpHxqnCEEg2f2r/R9PC+1LOXKo93Q/cE8W0veK0Thc+D8iq1a+p5q5M/q4VEij5k
Xc7kR8WP2H0E0ejU1iYJ79vflgzpyFvsrVrz+l08i9AwxuIEYLw0v2qHwRP7VCWqLzlp/WxUD263
C9OVjbx0hyBw+/+jzFVAJ3BjJmhE0VTu9IbbdTdKB1n7Kld22X26fIMsZA8UBUTowVAyMcCZfTWB
MaSQ/jmKLBPiTbTX89fBEp5LMbWhX+HhIdux5q90SFaCzp/qKoyj/8t0bzMna1809zrkQelr1Etv
DC+w9XTl+p8O1NmBO8HxoDUg+UEmOPtaUJizPAB45EjSY47IlFweh3atBb+wO86CzD4MLdETt1YI
MvYPNa/02EKigRxMW7n01wYz2/uBYEogCqY45ne/7KiFu7b59yZMABgB+E1v1N9syvM7Ii1w0MTN
gk0Yb9T4lX6cOW4HDaHRfG1xFucN4hLXO8WUD4IWlgyqOhMJlbv3Y/uz6J4N71mr//4VwID+RJlu
qJPjeozoKMUCUQSDQmlsF+ZWd7dF88VTClr4Kxtu6Y5FzFmC1q9zR4jz74pOt1fJUzgjuS+9751S
4FP9qmuPxniQum3XIEOwsi8WLkAKtIYBOR48DRWT8xECOjbVeEoGY63GxhU1G2ObAXY2bwo1WBnf
0hdscAoCsCUlA0p4Hgv/1kx2zQl3igFxFh0t6cXPPpt9b2v1+6hsS07gywfV0i5heyBbRcIEfGd2
UA2FHnthR0QNwKJQuxtBRaNhdB0ZitJ/CjV/39NziLQimkIJ3Sbqo4MgvynQ8sfMXOtjLI+KJ5SF
Rz09wVkqVnmym/eelm2Guox/pLDFv5u5JHwGqZ0/V4bs4rOcxd41IPz4Jh5H40YfZIwaJMnyj1Fj
ZJlt9jjQI1KeSA0m0H7ROqKStCv528KdBLxBlqwJ6ku7aTb7udb3FfQIMM20Yymu6tWDlrV2DDVM
yXwE375cXoKlvTx5b8GEJedXrdlZ6ulN3uYV8fy6sKMM1ZcvPem4Lj6YwT9QVkBMwR/B4wbV0Xlz
Q1DLrFGmsY1FKb31sj9sZSO/LRGsdQCn3WGoEBwY/AqmY+kZbaCbMSlz8FT88L36sQI9NARZrJW6
+2qm4vAElEN6HoNeljZKG9dfOl2JDrKaaL8KrbG+wV5tt1XbKKHd0/M5qmmlfeaL9wZbrxPzyQwj
LdoLmdp1jl60vr8tWz1603wB+XpdqRx0dKRf3qhQ75AkT1p72CzcTPi/UC+mH0lNYu5n1no+dvUD
VtKoxd5lXnYTpwpgGOPvDzrURgBf0vdDI2gOeoe0aKIzHeXUwu0YjocoP1P7tqLvSrey7ReOOU5T
zm9jEqyQP9AM09TP1GDiwxU2hNZ8wJ2tuip7iqj9Psn8I+txeeMvZbaEhBIH3R4e+xxQZAplmRd4
OUI6/SVGe05aW2oCO042bR/tIutLlr16ymuYrogKLHG0TwPPMUZ93kRirRBYRVuyAFJfCU5oPWju
Nzlu7aKDcHNlFXvkYgMLG+OH0vgceF/G7K5a4xYsdXfPfsrsdulrjHEanZ8iCOVGQ2ark+hvJ44m
fguNaqOUBzm58UYHoriHYAnY2PQf9CaRy8ZME8g/qK45pdpQXNhXCgBpF6GMULv3fd0Ws5VTbilL
4Bblk4HGOkltzo5V2ajlxNUnpDdFsm4Xy9/cZG9OG7nchcNVif+QbqzKSk+dxVk2PElA4kUJjQxc
6vQZn6RCbs5P6aIJMZ19kdVb2YodTX/M5UdZ7h2/v6rULcCBy/t64QI5izldhCcxVQO5c9UEtynA
uRljGP/Dt6lToMUxFDIg/IBuLkdc3EWnw5zdrf3Qeb2hTiHLrZjtMnWfjPsJKSEZh1yq7SA/Wt4t
1eC6wEfkMbdeL/+A5SFPIgvsIJ7Ms8XlgZHHbQwVUhRv88yp6iezpns+bkGMpBzZl6MtvcuZ4f+F
mz+qoqCIcldiVUPR3yjyIbPuhvbYFBshwRkYQp+rv+bigYZzov/oS3Ut/vKu+hN/9tFm6C5AXGe4
3njEVkgN3nI4duJmCF585dDjyuyFKzGX7pvTIc+yhC7gbpCnGZblR7/9KY53avPr8rQu3QCnIWZJ
dd628diLzKoPOz8DRSVKOw0QhJUc8NEqp5VduQEWUh8siSFHQwJCyXGOEBM6yepGBVD8aF3BXRRb
07bK74G7N1bXbCkUtVUUigAZKx8cyKwyUd3B6/JNL3zNUkcbwVJFWwW2XD+uAd8WMl3o65OaNbwd
FDhm20OtNROt6R7aREJfPr3hPb4Nw/e2OFxesKUzFaVx6iecbTxO5kmI1Iq6i2wB91ijYYCcGipU
MTVWUauvaizQhkrkRuktMb3RBRPObhI2XewUXp+sNEoWp/fkl0wHxMmZh96uKraKiFG53z9W43sW
fK5BBgwRvdFx7dJcnF8LBTF02FRE7Wfza2qKVyLbADJoxGLFNQTVQYf6c2YZn4UYwNDlWV6IRlqE
8geUPGSB5tJWYoCQjZmFBZKQyZuZ1+1BDswSPnQePbbuUB4vh1v40EHCG1AAOUy1D85PvtcGZmHB
2xDD0bSbIgLNJcmYNdbqmvrk0sho1uExryGDgHXo+aIFuK9aGAsVG0nJ936ZbtO2PfaBcaibaiXl
mkoOs3sYSANkA17t+OTN2ylN19F0rAhlhvUhMfq9b6xJ8y1NHJQQGp98eNIHpRbXF8RCV/CpDWue
yRib/MDbCiuV0fh5eYWWPjsUI/A95UCBujBPZQqKbnledgXYF5DPYnMNoGJrte4xF429WJd3kVzg
r5nvJNf8sRJ72tvziTSQmiXxx+SYusv5mtG1aULfGIuN7A7b2h23WR0jONbu9KK87XSfe76yEwGh
s0Tbp4MfrlRDFj70aREpXgEHRcVvdtOXTVpDrReLTd7p8EL6AemArr2jzeNv1VBIbNFopO3lQS+t
7EnM+XWPTAabspUKLibslYyvIo+hNEYo+nKYpc9hUrmVJ7UO2EWzMyyBwicYrjwxpqy92PXvhaQd
tLE86Iq0uxxq6emDUw2Xkcn5RSYz//RKK1ZHjXJc1smbFDil2qqOB7oTar8TiUBbm8JJ2teIrKJt
vf1/DD8bqtmDFvMKwldNb2xRpIbQEXS7LlfBlgTCsOEwv+89YbCL0PtuaOGNa5bfV37EQhYFr1DB
VhJ0BJX52TEOmXEEpqAVGzgfDzoO1NRW+p3lFt+kQb4KXWXfAN5ufMuzOT5WkvSlxYZIMAmggOGD
XXv+HaVmOZilZRQb3kW3XdU/oZf6JHji52K0vlwe6NL2PQn1+zg5uRuHITfBspiEqnM41UOa3Iet
7m/0Ul2rxS4dsyZtTgAAzCvaZ+ejkofaVMD3c3lQEOVJ96VTtffLo/ldCJifQBZ4CAPI6mTrO1u2
BGXDcYjkfPJUK1RHLK7H4UcTHeJYsdPqs1/r17r3MuRHt38upB+hlW+K+FbId8l4MNK9OgDG3Obe
Hn+tTlm5PD+uKsbePOkomZioj89lIKte89SshfEtwZ7Dn6tJvM0gv4fW0+VJWIyDJyUu8JPo5Nx2
pbdapaUniKYPnuwaTYmwo3mFmt6qzcBiJIYEl+y3A/DsvPeFvHS7AKc/eOvYGD6h0jO4933y7fKA
Pm4cqEK/K9wT8AABoPONY/W4aJoudaa6i3VMoTEQc113jcq+NBi+BIrpv0Vt5/lq1QhaVfq8MNq8
j69JS4XbrJTh+IJz9IauWumDfPzwpiouLTZIolN1dbZTJRf9ktGl5FAaLvlTs9caY6Nna0pSS3OH
ivak+6nAS53TltFNUaI45fHdG4fE/SHHny+vzXQYn39wDANiOWOBrUN2e742WJ+2g55AVE40JBpt
N0EIwr9G1swO1aPa/LwcbXk0f6JNfz85rSTJDZQ4IlrQadtRRLw1NpzLIaaz9cOAkLewJFWjrzL/
SgtLGbwx430kNsqdEJtbKfti9U+G/CqPDfIlDU/AYk1H7XLQDxh0JTYLXat5AHbCoWp2vrYfkBnq
k32gA0ah7JivsYQWtt9kkcvdhmI09fbpF53MpNn7odX2CrWnqsBuYSeMohOtuk4tRAHsBT1EVyfW
gjXb5G7fZYPXkPbGWuLoWQ+ZV6AuEW7kIXwbQv1Tm71qQuxE7iMMl3c87q8hi5SW4hTocF1eWEn+
uLJnP2b6+8mQq46quDvl4Jb1KOAVl9doHgdOxBVo1+Zb2mTXLRAOaxS2cXfb98PKMbYwGTwIqSdz
+cEUnDN15B7p5TDrC2QDzU+82zyE9dtqE1XxWgb3MQ+WVXqdtHERzkaeezbtWS4FAW25cpMNmOO1
uKba+Sg+FIb3runNfVRExgqSYOHDBGKJcgAQZ/o381aAVmOqKZd1yQYeb0CuXddpsb28fgvThz4B
YG14VnyX84dNF2iBGcoyKofZp3x4itP98Pe4kkluka8CySKUWeff/qiZUeFGWrlBjMDpETBBYBdp
ZO/v/WWJQxd8wrihOTmfraCJW6+LiVOgJo6auasciuBoCrvLM7Zwo03PQJ3rZZISnHdNypQHKTTH
cuMJN3r6JBeHEavENb7H0rrwZeOLKJJ0oZh7/llZKOj1haGWfNsNBD/z0NTWLujUv650MGds5Qks
Bz3UmF00kacmdASZs2TEXuPRcAsbHq9JjewfJu0kzuyKGRJ0uTOfOG6i7PzJhcDQX5AIS+1sWKk7
LJz6Z0OaZvbkQAoiTQnNhlADsgI6VrWdZjlZgWK21L6W+ntcYnK9JnC0UJ8+n8hp15xEFepUGduS
qCOoH9T2LPnnICFYxkGU2YZ6RDGPR3JdyyDpjwiVXZ7ehYMC4AAmcIA8p/ba7GgqrapMw9Qt6aeE
G3A6IKT/fgEhYhr0I7lzpA+Gxwl1Db2fGlYpxigDsDjjSxg/B+NKnrA0EFIe+DCKyWN5rg3RylGT
Z2lQbYKihgi06UjjLk/VwodF4vYnwuwdjD/EiBggEXLrqFWxLVSA3f5lFBypHEWTw6k42wyFkisd
SqnVJm4xG6bNJa3Zai7cRZzXfyLMjgehb8S+yInQWQ9BvBVSVPFAK7t2qqw0mpYiwXyhQIn8Owi6
acVONrbS92xrRDY3Q3Jd1tSfSCJ+ZIFTu4fLC7MWaLYwdZP4QZkRyGKHdRJ2mjxn6SuBUlhrfy6Q
bGBZywYlCHW6+7RZLBr4iBJ3RYXfXoeR2+ciu9MF1ArftcFB47nu3lX1fazueK0rWmkDAW/MlX24
tNNPfoI+lUpO5rVIykYcBn7CCM681R/VbKU+v3BPoZlAb18ndZjQ0OcBBDFLI8yiq00tyXZH2lK6
tiyVNmz8ywu3cOCeBpq31k1hqJrIZCTiAOQbNftrNbiaXse8jDV1p/gr5Yi1ePL5wLJMkFpPJ14T
HtLcKVVSsF2ibSTBzpNfxtpmWTowTuZxfkWaGngprWYeRyweREjn37364fIMroWY/n6yF6paqVRs
11kq1Lj710S6i9eQF8u7YQJ0U92SeIOdh+iKMArSgFFMWIPipvG2vrLv18yIFje1Sh8Mog5QqrmZ
Ah0oQxgbBtKHIsjpxLbWGrELEdAKQ8OCrBjkyhy9FkWlGxfyUGx0EnAbkI6DlHi1khVNn//stUpr
DbItej5cevM3hWpEYx1aaoGNXekI+r6MPtNWGHFFzJt7fw0hujQkqko8Kky6Cx9wRUWs6mPpU8HT
Y3F81uviZfCt8u8LI5Rh/gSZnXhQL1IsqSh+dkFp455wVesqF4Z+uLyTF2ZuglxIU0dmapXMDp0i
dKUwxWZ6A9HN3xWtAdgGR0I7TbP7orTMJ1ctik9BXGgrgRcOBYpy+N/wOOOFps0+obr13cYEcrEJ
xKNnbhvrodT3UnhbRF+rGkWQx8vjXLiszsLNbnjVY/iGOtHsBn3biNtIyLdhUZLtOfiGrGzHhQ2C
awdkNB34K4WF2dg81cqbxGrJLYtjm0SbGFTJ5eEsnA5nEWbDMeJYw6WsZzg5AJI02lThk5rcZlXv
XA60NG+nQ5n+fnLS+R0CqNifk6iKj1WX2amHwXxxLWUoMsPmuxxsbVSzPZ/rGPVmYldumlEo7hM/
6reNUHiP+Wg9imktr4xt4RTnA5u6SBieTSfg+dgGzObyQSNcaz2mybEMfljtyk5Ymr5JcE+lXYwI
wRzM2RZRnwzyWG4q/G01u2sOXQTW6Ln9e5YGDI2TQLOxuLILqDMikBkesIcJxQejddTGGfwnv11J
VJa2959YZMzn82Y2bQgQkVh1/xx0V+Y/lDhoOCEjxa03sftm+cLg+X2vNwpHg1fSq3wL4cCLwkqp
ZqG9B8cEhx0+UWo1H6TSutovRlJ2PiHPcXsnrhLH0+1KfJXrz3W8NfsbUFij9evyFl/acydR57lX
goaZXE1jM7Mfeay9yaW8Nav083+LMntedlls5UnH2Egj9xEUiSTOrhRzTQ9x6fKATjw1mmgz0W0/
3wiulSIupDIYQ/yVxYcueRqzyG5Le+yYyO+Xx/Q7F5ld8sBe/0SbnXmyr+JVFhCN9rD+1Qz76Khb
oypRc3dHcPiKggj5WD7UkqdttLTKbgygm0cAANVWFOJgg115dfTDRHe6sja3dZT/uPwTFxcX2OTv
cvLkRHM+H0oQq3Vn6fzC5KGL7mLoxOLTP4RA3gh/D40i0zxEa8aeGSVMgjZiTNxG8O+r3E5cdyX9
+J2XzWd7knHD/JP8gOrc+ViCTEmHRB+4wyJ529ZvDe+DxpedMLR2XfEuG5ZdtM2mz4GmiO1trQyq
3RXjrmq+jOZD7JdHQVKvKD7ca6Lr5NaaC+zSIXT6+5Tz39f5hly4IbzbLHqr1dtkDbi1tLdP//8p
/snFl6mhGqkqh5zMIaQkx7FuHcO/CsMHtwVut1IDW9o5p9FmXxKGDEIog2OAovV1KKfiwKu2BgBd
ul1PY8y+H70xx67ImTFU3sLok8JLL3LkYWWDLiBvZBqhwNMn+Uka0LOF8VDa75OYoYzya+cZ8DKP
JfDWzDiivaFXVyo10WLtQbY0ttOgs9WqLKUwXY3d2rUvcfRJi3kt3f4Db4+hkbJOOtKk/XNQW2A0
bYJoP1HyaBsUCTy39nVM/94I8zzM7P4zE9MVo4KFwkpqzBxrwARmHNHZGmwcKW1VWbnPl5fsZFyz
JYM1W3Xi750x1LhDgnQBTcKr4CZRQqebrEdiZL8zoNJWsaYXsbTzT+d0tnKyD7JdEZlTV3wMmi9R
sy/7q8tn5lISdhpi9nEJspGNYiSRT/TxU2vK9oB7fWWUn0r4EnQGVgpwSycT0Oep24fAxwccXTEK
WlC5hNNj4ecQdt9TLEouj2hx0hTeawhswP6dYxs6z21xWeF+DwrzLUBNT8r0W9PXVsIsFcmh7v2J
M9uJEiS+ooyJ4yfBS1W8BI111IcYiYVhowxv/Sjs5bZ5roJu63WTQWCwMYf45fJgl16Kpz9itjtV
I5GCTpyuvEG5b1wfZ6tqG8bqjaB7VzRJthp+FhnhL4ddm+PZxmwjWUPxm7BRqdhUfOxcAoalHy9H
WRvcbG8qQVaD8CRKGW9MhtG/KPi0KwBIvsXRtUsb+HK8xYPyZEVnl4CY6VHhG1M8deu7DhCn1HqD
6vUPUaBcsTUnqZm5BXMa+yKe6bwaU+VG7Pea53TNrSKtZLmLKTz8UnCWtPWoms7yrcAz4CROgwmy
11KV7eCq/GXojiHfI3RgxE7ffhvWXGQXD5OTmFPecJIXeHWlGENOTHyaovBXrzV2N7xZ4V29qnO4
lILg9gzKGM4hWIzZ8JD2NigH8/Vp5m2Z3jb+bane1/mrMj6CRPz7FTuNNRtWIwvj0GTEUmPf9vVt
7joqjlxCt7Lf18Y0fQ8n04fIUpDpmFJt/CbeZr2JydKPQJeRLajh2SsbspTtfxrZHJmKWUpTlN40
i/l95v002pcA3R9LXJnApX0x9f3BgSGrz2V6PjDsdsVOMOgnagY6n/Gd3l2NKLC69bWc7y+PaOlk
Og01W6tejfus0QmFQ5SbfRONo+b9/G8hZsuUZqBMeT2T6UiowQQPQv5e9H8P5p1AGf+bsvlb2KrU
KHGlac8FjboNRRRipQp/gIDW5b1kueLm8qAW9x5AAypnkHmpYJwvkV7nJki26XnWy68jXNfNqPdO
2Q3XYpxCxFDe4HiuxFw6b1HnIF2kFTdV2M9jWqoveWVHozfJ0KGbTvQabwcnVp8vj205DvB9hd4f
WLTZ2Dy0l1QIEuXGSrsjZu0hPp6W4G3yYWXzTf/R/F0IeJMMGKLOhA47HxCIhrCqRiaxaL9VOQBB
Bcr1vo+2CCIp6VZaM+td/K5O4s0urCRPvU7uiSePh6yzFdnx6i+GdJvmf402pjshIfgwWdca+M2c
D0xOBCmug7DaZBLJ4barb11MweTj364TUdANkEkNqQ7PMUmJGmnyMMb4noeQ0G5A4Za9I6w99T5O
GrgnSvqTuT1l/bnNh6xaIfx7lX526WBnjPFXkqOK+ZCv8Sg/HkXngWar05meDyJGoX+kvCNVnvBG
rr5fnrGlEMCkVSq01Dc/8BYlE6i90JoVW/qmkn7p7Xu2pt+zEmLOru2tJqrlkRDycAy1oyLucdq9
PIopWzz/bKaFmFD0FFNAZE8rdnLv5UIxiLVkUioLsOmoac172UrJZmkUpyFm14KnhGI/gpgHfIZ4
Vu4dkGbZFk36168pRqKIIoUhBDCkD1BXJa7rrOZEyzrtW+QnJMeQhW4BCz11XW3uUk1e2QEfjxwi
qgqgZxqJKlS687lTBzTFUZ4kZwBoEHt3o6Xv2xZ219H3Fbsu7WStW/TxND2LqMwq3G6BnHjTTjcs
7Pas2PZF8BUHxptRb9cIXh8vJUKhAojcBoVDivTng5MbMwrc6VJCvOU68uonPaGoJxT6p75znxqx
dTJ9eLm8GRfI9edBZ1ulEgu0WEVuC8MbH9oceYbEfDfDcWMZXwfDwLYy2A2lGQP2Eh71rLrDQGUv
Gi9i7DqW2l6lmrHLI2/l1bC4gU+mYrbOBTAi1034VVI97tymvOuBAmd+sTL6xRnnbKSUrHArzyl1
qhk0jdnznST9V71WbRUjB/w3EfMY+0NlCPblyV46i3mkTOVxGO4fJK9rEVHE0GRUcfKlVtKdKRWP
yfgrbZVrmO8r6cbi2E6Cyee7qbB0z6CJSzWlwsQmjQ5RdRQtTFOuq/oomWtaJYsrdhJOOQ9XemWg
lSVTObqu3bV452jipg/WejVro5o9xRtBF4XW5Rvpa8sWlG9+4AjiNyl8a81rQ/hxeb0Wv/2TMU1j
PjmpWwzqrYDqELwR2e4D2SnqH16fHmPqff8t0uzyrIS0DMQpldLTX1lEq1O2o+pTav49IIavnZMF
cCpMGFy5zkcEOVI1QskiZVNUm9rtXd3Htl9Fh8vDWbziTsLMVgliJ1lVzsWQ15HouFkgHdA8ULaX
oyzvhT+DmS1PGqhiZTYMRq9uIO7tFONz2x3zeq8Lm8L8cjnY8l5AsB7QEI7N4ix71/p0tFyB/Y2+
8kZoyG70ylYKw/bTv5cFZpHQrjKnhsuUG54vUqH3kuLqzJ4coEqrPynFm9ELiDw9Ram0kfKVvbd0
KvHeh9kI5wZY3XwalZGunk+2m5aaHZV3JVYdWf44tJ/LNYnGpUkEEa1A4YNW9MHFPVWbwQxTUt7M
g6zZlp58L8thsE9z7QERrfrT5TVb2oZTQxIRK3T/wa+fT+QEm1GT2pt0WcJtInt3g9fvLodYmDzw
TAwGCDFWW/O1yjSvNMcQSKolPAbtbaig4ZE7OtULM1jZ7gs1roljzqMB7gi96vl7q8y4ybKchfJD
9FfHdysXHPwX7TwYdgFVDENBsVjsBmpg41OqrQHEeDwyX7PMFeol9CxYGygJz5seYWYmgxZFQC9l
mv1aGPpfDG+ItlLdiSOuc1H0KXWFbisqXnYUAiV5rzNT37ToQD+3uel/cmuSCG+gCxulQr0zw0Dj
6WMKN51StndNLXVQDLSMHZErUfEOhb/6HMW9stEqKf8Mpt/0N72UC2jfZP13URC0p6owjbsytlwU
KRP/ALyw/xk0eqLc9a6KxrEx5WnxKOq/9L7OKkeJffmYj72w7bwxPo6ibyQodEZIPaqRH95oOTUp
m76VJtpaW8uDM/SDboA6UNPOjvTMkvfooqswu8ZE9behlGPsWolGBcy287ttjM/M1nDd9lfb9FZl
+0boBxsrbCxl42KSchwkpb8OJSG5qeKk+2RGY/5aCcUL/O0HQrWHPksNgNriOLZ2bVhoQ/pyMnlN
ycouaLv4a2PU5maU8vipodh98CpLgsYgoxuZ9pT/ARQEZb5V9ahrgf6K+l7VYmWrh2J4lOJU3sYS
r1ody8krPhoBHYGyOgplW1xpbWseB2AYLXWr3t/WrdDU75HbSN4VCn4xOM0kN7Gu14NsW6iloVx1
fi/DQGDKbb4ExO+aVITQE5eYlNAJzp/VMghJXiMuakzVX5O8RFNHsKxd37pABApDb2xTrcSv/RCi
KNRgxKE7quWBDJRCN9zBAYe5WeSt99yMVW0+x3HfDJsWes1b2tXJIVfRz97oYxLtUGMafoiGB7Cm
hPS/TYSofcFyyJIdKXX1bD8WKjHlUvPfsE0szCvVK6xPZN7JYUBGQXbtpHCV2xEVMctGTQzyRio1
9U0v50Z6RStHVXHzkcVtWoh+ZmcWrUZbSfGIt7PUMqCwBnnOh9hl7a5JU/U1SLzIxVIrTa+ERBQP
uRuVhx6q+sYsx5zjPc5Vnk2RbKR25LmftFaRnBZdl9tGqfsdrW35qvLT4uAKtXWjdHEgE9uLMPMQ
a+9Qx134hBzzeAS1Ttl77ANpm7komqv96NllbrUoUWla5zl5bLRHrORxB+iDXnKKUZF+KUGL9k3V
BmRSrdy7tu717o0iCPGzaGTdT2tsgu1gjdHj0GX1ATS29BPNtryz+9Acr6M0dJ3E05THopKETZCg
KmErjHmnFW0EjFTwyq8IWAeybSS590UOQ+qheZCb3YObpskViFCBGqlYx49qV1nPtVx4Dwl4gy/d
UA3GTowUaz92spseRkOobnwpNrjrtcDbJnWkP7Z5jPF1ZwqxdFOLcf6kwea4lgU9/JVp5Il2N1qU
klW16ramlzaWrUdm2z3XXRpvwrCor/TRGBwtScJtBGNoWDuzF248zKBQYJgE0zBNniVcnWUkmlkl
nA18F44wIm3dJ5vBsBwAHVgHhS9a8VPFs9T2OT0bO7r6PniZk2a3mth/v3xXLfD9eKWf/JhZWlaJ
Yl550XT9xh4SBp+SNHFC42vfK87YeL+y4r3wtBvfJfOsUaGq1h64izfY6Q+YpRox5uxm2k8lry68
CtPGaYrUSSsZyKmKpZF0UNV6q8e+k9ASQK7nbWUCpgt/foExfqoVk4YxiornCYEgFCFoFS4wvfwe
+arjV/5OSauvTfyWYbJil222rfXMc+Lct628X8lHFjcDRQuD7Jcn4LwWB/QMQy4DiDVA4XvNbb7z
qVy16VVK12NlpFNZ4sNIT0JNP+Xk6ZIJuB7UDZhxIS+cwNqKYbHNIOTgGTu0r3qw7/2rRl5J+xcS
cpiz00MaBR6cH2bTG4mx6lISJpPkHtTG7hXDvMM4iuhEpcYmL6MnYY1CupR/QW9BYAUqN5J4sxTP
9wRhjBtCBlWw6bBl9mQfcb6jG2/qNXeVhXRSwjuKCqTEA0aZq9O3qV+puTKQfynv/4e0K1uSU1e2
X0QEM+gVqKm7ep5svxDubZtZSAwS8PV34XvPdpWaW4T77AjvFzsqkZTKTOWwVpfIwFubPVrSj1MB
8/6eHBrMoMlrHwL6jmeYUbSrWyrjLyUo7/EwLHl0WUnm26bqiIV5OwBI/s5yK8eFzg64cDSPhVQ8
NfI1zd8SdyVDuLhlf0SokzLpqI1MkxAxWEPkDm3UNrv/ahFqjE/jyZauCQl98+6Lfe+9fKLOAU6J
maQDNQGUOlT0FwtdHGNRGHhGZCkafUApUvM20AzjCzXZUaTdw5SCZZrLtarY0n2yZvQxcAligksd
8C2sEvPfutmGojUAJPCuVxvEbFo6bdryedBX2mCXtA/zbgS0YQAog4afax8o7frWml1VYTzzelNO
75p3PaxZpiUpIL0xgM6F+4p0w7mUPsVbU7dwXjm9azHoGQ8Bt+DS/767wULb8B85yl1yGOlkVuhY
DXCg9drbt1N5rBE4llRfKRctKTmY4n1EP/NNUouJg9aAEjbFMcH9H0t/OgJvZf/3Wg6kRviN+aWO
t+z5ro1Ct+G6UcXRei/ByBn1Ij5kcUhNFI8+IWpWdaSigbajGnFJmqIsPTIHCW2QDVeU/gR51WUZ
izuGgfWZhw8j7M789yeGbjTKnpNcw3KG+0J3gthc6WNbMm3uiQBlv5I0yUQ3xm2YoJKMmarA5jIo
1ygKFoA8cVkwKoo2Y/wP5evzdbhZxtO6cOdxNp3vW1ogaeN04xhpaa4d0lp2x3ziSIgyy6mMMPHt
/GnievtSSzCpxJUx7GtrojesAWr+Sui5tMen36ZcgG7yGyAMQmUaKtC5OhxqTW4vH+NCt+C8fjAt
zeBFqOArHoTreWZJH8C3xWTjgWg9GfyrNNN9AUo+RlF6qn4ypj8IJ10JZZcX969gleIE7dB+m43Y
+Dg3ttJLt9RYoxubv131jidrU4G+u6lODeY6mB2k+mvHzH0St7vJS0Pm2UlQ8ATQy+59y+yvlzd1
SXVP5SovhtJqwKymY2mVds/Ld65deezlsoglG4zO1ZmdFrStYOc6V1tQKAy+F+PYMATl4ZHp3Llo
HNG/XJayeEYnUhQF7AG4UdQjpMjsh88O/Vrvy+LvwyvD9M79lb8fGydGZHIpLGWNOy7MV00eC31F
uxcPwgUqKKrmGG1Sc+UNWni8wUQpuG/AcqcNwcgfxKSvZF+XpXgeQGjhdvH6OD8LKVPYB4lVjO1j
LTd8vG+KFce+KALpQrgOBHvA7j4XkRh+JzoJa8vH3+HLLZrlAYHVfkarTsQo5+1PFX7Xw0p4fnDs
ApMIe9t91auV2vai8p6IUTaMlDqyGVWC3plxX7Fj4R16DXQ+4WXlnT/2w+3/I8VWyr6SZHQqE0gx
vXDKj3rzDbhKxDj4w8ZYA0heXBHa+vAfGG3QSnN+PoCkdAerzbowN47ZhIGVvDjkzQ/MJa60Iy8m
AMDE9x9J6qocJIp8GG2sagx7tvXda4e9GeNbSg8FrREmHbr8oQJzc7JWHlzczxPJc2r55LIKpBqS
jhYY50zRLfBYdUerfx362yo/DvzvG/DglgC/NcN+ogFPvbklBjxdip5JNLTeNaBL1u8bGWjg4l7z
sYs3a45jZzwCpBPmvz9ZFYKKvMpjnFwGpPLWNgJJ3kV6uKyKi3buRMisPidCCrfpepLj0DQnDozh
ETmjywLm+6/q+lxuApKMPjfDKW/ogokK+Ng4mwlv525Mwykpb+qBhAlrd9RrVt6ES+p+Kk5RhaSz
0HzHIK7P46C0k23f/MYbXOs8XluWcji633RgtoQc4n+v0iuMYI0lkrL7Pt9e3r8lLThdkHJApJeO
7DoIclAhBhJane5MuYYovoB7YQFUaB4En/POHzuc26oHJvRsXukm0cCuUl4n5VtjH4Bp2OfXevqo
2QFQ2jL7mJvPBQ3jdCWoXtrQ0y9QDLweY9JKdviCrrorxydkNgPk2JEMCkiefcItos6Ai4WRTORc
lCjI04tq8gfY32y8M7UfvNpaa+mcpWM7FTHfu5N7pTWtMLVZxFgbDzQHQa8bbztA6V3WjsWk56kc
RQ8LEOCwnkJOR3ak/N5rGwx6JvUvy8GoHI3SMazI3bDGy71gcKEmlglyMYBsfqCJmMArioAAUo2G
B4bxLnoADQOK0HgaYlQI+5U7sHCpz8Qpl1rUWVmipoUcSdLcc0oju8u3Ao2giKBWNnTBHp6JUlRj
QkjmS3cOZ0S1abriKmndzeUzW1uNohqN0Dxr7CBCVHeT8TYaT/70RD8Rl2EhwPP2QeOBo1L8Ppc2
cesJbmqQTygOONmBdivHsvRCO5Whtq8Z4KOiHYOHGv0yQhdwRJIqAEL9186rAzPhmw44UOD1Adza
+HB5E5dex2eyFb8ygrSDOBKydftLzjayuCrZvs5eJ75p05fE2XfW08gPkkW2/mC5KxZkwVqdSVc0
srBS2+YDdrdK7DDVfzRgoS3SJIhr/bVmaxgta9JUpSRlWhZzDAf0CsP6aQvQblMR6NU1Ks0r+zp/
ueKv8dxGEDOPVdpoHT43XFbOTOHHWJkz8luHa0cdKS7ZJfc8T5Huir/WFIXwzniURXzn2xmoE75c
/oQF03n2BYonqCtfI0aB1eYDKia+Lw0U3hoDEEJ8bfBscWNPFqtcEqD7VL1Osdg+c65TLdky27my
iAgKs8Qs2o/PLAxJcXhYAN+rkaOeTGlJAeodOvwAxMOpRjF1d1nE8oL+iFBsS5mBOl0bIMJAvXrw
AlZMSDEcC7HLi9fLohZ9wNyugZntGZFdUUod5fCscSBqLPegY9Sta7DT2eYmo4/M5Sv3bfm6A/gN
rTAzzZ8KbQol4NLUS5gzUBS36ACs3bluPwX5KG5Kpw0cdI+abrJxsyQsDTOoQabdO/+gsWYlYl7c
4pMvUa5+mhpDO4k5wkRbpwSRDsVAHYaKmkimKwZ2TZRymropSeemWLTmgdbQRXtWV0RN0we5+AnE
lLU9XijrmaAS+HePlViC5UAmdxjEjdrbAFrSHhPVM4xxAlygZ+LeY2ghyNZAOBa9oQ/QJrCqI8+i
9h1pk+n2dQOhcV8EI/IUvsseMEJg1Guov4t25UTS/CUnIZnjcMy42ZCUIP+VYU5BaIHurbw/loUA
5wXU3T66mBSLkvltVzh61YWyQ3jis23e+ttUXyO4WN61f8WonrdoB20qPIgZMGOvRTS+B8CQJCu5
nTUpio/1MZiaDiXFjhV7Z/zVkfucRgn5e45LRJIzNs7/7tnvzrCTg/HR/TIaGIoJ4Xq6g95m/2iC
8jda5D8NYaWby3ZrbVGK3arKzidFjK2Li1/uuCHZM8ACymR7Wcp8NT+4UYKC1zzCj54A5S45XuuT
dMS7ukxSa2MzN4nsMftUKHkiZV7ryc5lA0nRpAJblIEyCU+4nQmaqxjccGhXuryeRWtPbLzi50o4
BkvOJdVllVnGbPVcDxRDJkpFQGz93kE1yJ2GPun/TpoSAkx2nyLTBI0Ymu7aikUbcNYCVVkY6Ouz
dPA+SjcLKkLqFRu4qBwny1Sub1/Y6O6YsxXN+MQqjAiiqYdOu9K0wssrnH9I1Q8gGoGfAZ4T8xjK
ftqe6Dua4WpRH31RHShr6ywYTW1TIAOoT21U+SSUVrm/LHbpGAHCh2l+dFkCDFlRfp7ZCQAKoPzd
cEuqMG2eEuOQVO8pG4MmX2OsXHwgnIpTHFgNLC2hC4jzUkChObcezYNa38fWvSNfsmxb9SEtPqE7
pzKVmycYcC/LEjKTDjTE9oE2ZTA4twgNdO/BX+sQWHqAmzMUvzcDD7owYucXYxgwlu47NRJB2QuG
Eqxu12rIdyZBbh1nQGsAHQ5+5CVr5fvf3LMfNeiPYPXuSx67GoNgEdM5hZz732v2wvGu1MAz6HPc
D0s7jF0R9C5DV2kT1U6/E5W1A4txQEi/jVke6dTautoaevS86Evfpmh3x9uEWhq0e0Ju1Iwfqfsl
H1Zu0FJwhJYJEEihfQJ1XkVG04A+thkhQ0sxmjUSqgVtKgXq12W/QUPcLQho5Qp8jrF4f06EKoZJ
VN6kDwlDiOTVL/kgd17aRwy9u1lWbzGhGAob3dP8K9Oz69z5ZRXTjW28lLoWWMBJo0CRta3p2MR0
d/leL6vhyYcphkt3k34QwK4LrQGwtNqb2e+F2JXjP7aTBRSwGezGQztYf7gsd/GgweM144eChU1t
uKA5HsFoUsZ+DHTveN3e9BOUqteqccuGBPVE2Cy0XXzI2KFTtELnHS61aMYQPHchZt43HSbIHEzq
ALXy2U7rSHjoJJ3Sla1d8uRzKfM/ohUbZkvkv8hsw3pXXGWcH0D9saLKy7v4R4RiQ6ic0a0LHB5B
Vy44KmFCioAh4/+Zw/ojRrkxjKKvrETGJsyKIWpJvinddiMB33xZzKJrO9kw5Y6gSNd77eza/Ozg
TFu/fiQw/sUx70Ecue/XZijXNk/V/A6oJvWI8ymNqJU3rnt0hx+XV7SiAmqjWZ7HkrA5QNXq58G6
Ww3jFn8f0JAOJqjRjKVilALkF+HiNC+B3nXNEyf7y9+/aLXAfQOUIIzHAIjw3EeBMKb2yha3tNOL
oyzcwDLyJ4c9uzbbN255LYa1Yer5Fz84gBOJig7wytU5MSHRHQ8uaN7RbaDtnfoHYCouL23x9E8E
KacviZ6gDwCCUv+ubx2wX6KtaA2iZ3E16KjFaNFcq1ddTSEnLQcrMkyAhIOpyuGgjwCpSvUvOgCH
u0lfOa+lKNTw0fMDOjL0CKhDU3Zfx3FdNfOi9q395huRS1A8WLHdi1oBmEMEn2BJQVfeuVZodQxm
FBdbl7hl1HQyyEsO74nJiGRP0ybQ6pU3xOI2/hGo9tWkXc2ySkIgr3e+eds0m67+qfvPxhrY0Zog
5d2aaD5oTfm8Mg20FV0EYLOieDeNkEwrVaulm2t5gM4Gf98MHjH//ckDLGlLwj1foFXIxICv2Jhk
rX6/JAGFe/Q8z3jTuL/nEhgAJQmhmFdBCSScGAYLPtE0iRYUfD9GnMCG6yqBpN0a1mTEkEAKESYS
XW1RikhWkyvuZ9GJo60FiPOACPE/jLPlnchjLgHiQIxXr0Ti+KfrHUXxXJivuROlxZVYS2nNKqyY
IQfBAnCb8GiFA1cUIW7aKh04iOwH96UGUEl1x+wdHlm+nyK7deevGYoFa4SnPuqngAcH9ZyapTRN
IL65BuCedV6J3UCAXIymdQG/VK7VhRf0AjAFFlK9eHmgf3i+AyeaV2YsExhRxRwn0bc+G79Ptr6i
3IurORGhGHGaCVg+ByKMlgfgEI46eSfWcF4WbJ0PJCMwiMDYYURYOSKX97mVMQiZLLwNE4wnYznF
FoWGy45iSfsgCC8F4GQjj6E62cSorBYDZzPU0NUAXgxUbIS9s+IAeCIUvTflDUufLstcOiMkHKHu
GMtH07OyNiBlsLwQPVCZ/WpLY3YovWbFpi4F/ljWHxnmuR5MTorm/QIyCgakAXDPWpgop/N43Lbp
ogkDWlOUdts0+ftEJzqKgGBD0FUE/6HaJUJZRnzZAJ/vNo5/ZsNTvUZCvqga6CxDqzUu1YdkhT6A
H3NEmTfs2DMnRpBY/3hlDjP7evmYlvQc3HP/ylGMeEozjGh1kFOzsLBApn5rdCsR/lJzFFq4TRd5
AnTzoiv5/Jg0LysHcBBC+6r6Ycpjto+B+dFMFogddDvZgwVv2jU6o8faSA+gZPtKJAAQ6ZRUj5dX
+zujrhhFfAqAUzFDg8KNmgMybGrFRjEAjrwckjJoide+yjpN7r1yYP+MNsXMZS6ZB5IG1yki0VL/
Ni1SN7R6TDWCoSune/x4vaOFhwF/Dud0HPxWemCSc5M6yKbpPpmphzONDTsAD/IjS5PuxQGGZYM+
aSb1QE+c7J4OtvMDMMPkrRtNJH5BIPyaEWmwKAVS10MWFwYUuAkGcLkBo9TM7+p+fkHEbPTBVSGy
bV2M9S+ZamMSYNBB3yTAxro3KEcgw43evDKBwPGJ5hFsH0DJZh5OAqad85MEglCd6D60BdX3Y2k0
O12jxzhJPmF8UboHfBNIMvHZin13hqRyWT7NAHbeHQM8y4gqcOCA7fGyOizZRfBCIXGFOqgP+Btl
PRM3pPCq+ZYRUBaQvkSSaHR5xD3Bn5qkHYMpqc3QLA0ZuIAQ35joN3m+/BELARtBmnzmz4b3RDnx
fE/TeGAlUIWAFlkjvraeclYEwH8W8mVIxhWLuWBVzmQpBtOOU2GPI2Rp5Io0OyftbsBsWXraSni9
KAcpEYQ6iK8/MI7mAndwSrCvWWr6D6OJGqGjAViKuIBAmFyHvlzewwVnA5g05MOg6bhKKhkEHYoM
U8pYFwHRrbTQBinXXvYLhvJMxLzkk5hDdADrGwETHEqwpuVgwibGGHVijSB+WQySSoij4DvVkCDJ
fKMeZ9W3m/emwkRx/JRrPy/v1gLk7Iwq90eIogZVkjptPqsB934nKjAjNBRfqH4wjBer3DlAR2EC
VbzbHo1Va7qx8PSCcESlwEtBF5o6WDilWkmL39jVbgsSuL1sK0Do3xbulZtGLUbtLy92IQwmwHHX
MREJgnHs6vm5VQIkvmMzqzyThzi3d8YwfEMZ4LpOxNG2aahP9sGx5Otlsb8hGxRPA7lzYy5Cfsxx
KHKl1s04YdAXCtAUv36BMwIWZ7WdyLRvfSOwRoz459l74vzSeffkj2aQmvkbTG9UOYCOQecJbb4V
YHe3W7lnAMwrTbGS0l1SNiTwEXrOgHkYVTzfmxJ9vjp3sDdml11LFNXrergavLfLW7F0AqdSlJuT
TT7tMXONy9kyeWsDmBTop35htYHuZtNBp23xWOhkl3hxFbJB3l8Wv2QbwBJqY24WQCUw8ueLZHGi
YZAINyof2l1n1reW84nHAua6/ohQgqhS5JXlzpfW0bMHoVePeSrDuf/r8kqWjgv3Zp4rReziqEg5
9tgWk9dTvEkagg6aaWuy6UCqcUWMt3RDZxJnvOMwtmipO8a9WDSmXYMiJjV4HZQEVwcgGY6M9Kpo
nK1IHXfrCz48+T0Tt6wsi6gEehz+kYaPDDI968bA09PWDPKhA5QPYIrrSHcabQybNC/uQcRr3QBC
osUwJKBbWSsTwH7o+nCMhTdd2XlcAfjazJOAk5i/dTEB0lZqVF3QuV12lG0zPRBbsuc2J9OVQKE8
Eh2b/CCrXCB81GCqSgKLsTwPEVqjnRYQOOIfyykTsanNut5r1CBRMqTxvS9NDg9venILKlYKBFtb
7Cw+kDwwW79BNii9bwQAo3WDxweNxoei1syDpzkbg03WljJv3E6SEdS4yXgHpOFpZzuafXQ4XiZB
WvY1OPtogUa8Ab3zAESzrf04tdPr2LhGFUgvZ/fWhOR6AGCQLg5G4PhsMMspnodyMHY9r4qvWpIZ
ADrIXBQsNVALr9jIxTjIBw+1AZcDvlv1sWYSraWlh0cUWuO8I1in2W0P/o6DjfTPK+riMfA0aD9E
TBv8W8PvcwqYivHvOW8slIT/fIXilkrkH5l08BWSTMeh8IDK1O8uX6ElW+S7AAbFbCEo61WOcolw
urVFA6vsG+CuS/HsZgmsEdtqZf1e6zXm3vwDc9eymktBng+cVnD+mugcVmtFhAAv0mqRHKHG0czC
WkvQI0qRddwzfS3XtBR8ncpSUhdVnw+VJ7CNzOOAfenLagtwt+eu5M1jS7RPMBvg2E7Wpni6DPdc
62vIS6dyCLKyQ8/kqB39LPtZpOXN6KUsAoIH3egUaCnck82vy4e6ZBfxA0COQV+hg7TQuYWvR4DI
lB0+wOACjyGL1Jt4lO+x1q41oy5ZRuB5IauGpPE8yXsuyR54nSMQhCuz4zdaChESjgbczkKh2wFr
hI6W8MYB7snlBS5pz6lY5UTzmtWxNafWeOPNmdbMi+wCMQJFAmeNMHr2VWrccipLOU3aNK2Ta9hM
4PMFJcWBsv3l1Swf17+bqLIVYiRXa3PICTP/1gWgu5TXTfF+WcbSHThZhQqo5fc6meIOO5bQX1mj
BXiHoPkiueu4WBn9WpOkGC2gGgBUe96vDrN/9ShCWz5Z/mZsV8KYFR1QGbZh9a1xqLAiv0k23rSt
SRFNU8TlE6ClVvzB2ppmHTl561D0VYmuwAnpVRb0ZAhSBmTNDW9X3t+LcgB8hm5rzJra6lOgT0hn
mbNVtLo0qmnUODfM9gPPWNG4ZTnIgSPFimeAqg1cjAAkYnMCColw0f9qAFVlO5sh/vUJrZuL5f8n
R9GFpsZAiuVh3wyz3BKXH3Unfs1L/woObQ3yZ21NSlibVHxsSw+5Y4fE7y6SP0GCVpC2Kf1A1t7j
f7cwRSFGDFDxVmJhGrSuSoLGLTbMfI7TNd+15J/BF/jvDqqm3ByLsrchqBho4PXDBjirgU5eJ2sM
26y4rxoGEHm+ks9dkzrv9Ym+4xmSOpgNh33Nr2SpR8w9gho2GA2gq1SII7dpV20v7+jidT5ZqOJJ
9FR6OqjS8M4XZoTXXZAZ/VNBOaJkLezqtZn7NW1RPEjWNwIDcBBXOmNgxQdXAFgM/DJrFImLcgDv
Dk4qdAB/oNOQY02NcURG3iX1dRqjRwWjRBoyWi5dIwBd3METUcqSKrcgAjiCc4UG0dx3d9ijtQO0
AzRs3E80oxNkIlHlBOA74GoUp9ibvmQVhaFyLHBej/V3Ly2vuGkCTwvusbGHFYO1VNk4Faj2ODse
0P6EDq+Ch/VBZ/aVm7XXbaIfaP8FpIp3ruMGRgo1rXRck/JwWTkXPTSewQb4fg2CEsf5feBDWYNQ
GKdYaizKuQVExvfYiVeimkVdOZGiHGBdmXXf5ZCiz1jDvTjoab7tCzw4nXrlgi8+cND+ATwrPGqR
c1Lsio/MQ5NUkKV1G1OUUWFmCL4jE+h9jR34STQkVmB/YoqZIFmOJzRwK+dM9vk+mr3Lq1KiTsTH
eDu4kgUGyL5crVvJ4yzarz9yVPqVMdVkXGlzEacgoBH7hkS1pH0g/F0ei9Bp/nGIvbmsIvPhfAgT
T0QqWevBN6mjWRBZ4sBIGiH6FVXY8m+5QZHXWTm/NWmKY518NsPeYiPtuaXyKdEeXXKT2k8pJnbt
FRiEtc1UHKt0qWtTHbJcwTeTFo10200I7V+B9sIB71isTiCvSVS8a8G0uaMMEo0x33aOiHKSbORk
RAludjxUL2U23Ln9GpPm/LOXjlC5EwbGsYRfQ2wCXqyKl6g8OSuB5FLPKEFsB1BAjL+jvqJspkk9
WJcMWdBMO6biteFfuvbaSiLD3Oc1cgrg0d1OUxnE+YOvp4ELZHPn2usPFgNlbBZe1tlFs3byMco+
N1nVirHEgoX7WPXjhhXXyFGvCFnc1RMhyq6WlswdybHioriymgG4I58As0Px0sS8kI1u/Q/cdx6O
quwEso0attAQP1o7DnQaADRn5fQW9+tE0GzAT8KiwrbQJc0hCH1LQY3By8R6NdwV2/VRiA30Th0J
aBPJcrDDnAtpMK8GUKzZkNgy1ES2q3sbjxvjr4/lXIxiQVCDTqzCwtn7pik21NfjzZh1ZXRZwz66
tHMpirpraAACIgwW409mVOWvTZkFPH6XzrfPyAH+9tx7jDqOIscfmJOXLmIfuwOhu2/vG+KxwJLd
DpB9a/zaH80TFgWsD3SOAJ8R/ArnJ2TOOMqDjfx9DzVIxycLE7helAIUAUjYeMnj1q4o3sc7dC5R
OawqtdwiKXX4M3e6xRsn6EjycHkHF9XuNxifC9obhyi6Lbyh9sCEjktkle+USvsN4y/xLi7IGuDN
xzgV1FQ2+hnn3m2UgpRgqmTaNBijjfpDUV8Bwkt0aLNAZpx/RW3n8qI+ukmIAmmU7wB7yjVNxcBN
Om/7fnBgbY2rpnkz3GcjP4AnebRgjVY2cCGkOhemGLpMN5NamyDMLCPDvrEcgGdkge5vRYPpiqcm
3kxr9FGLW3myPuXQRglS9CxzEYaXIrD6LJiAto34Q8T7VcjQpb20XEy3EBRCXFflK0KbQyxqzcOx
1cGgWcFAkJoXHBAuIuqb6+rt8tEtRPxzH+UfeYrO08yzWe5BHi1eOjso9duKfcMLIyT1jTYGw7D1
+7AlKwZr6W4je4vGPUSnqFQqyjmwQUuLEuB6iDDiHNDyBOQ/GyMlQcH2pv7i24fL61y6d4AuA1wy
MEjQ9zZ/0IlPAevHVIwcAjsMaTffvPp1iH9cFrFQ3rb1ExlqgpE7JjO7Rptr6M3TRKeo77+Dxfub
PWcuRuPeYPY1c8B378sdx2xUMb2hz3DF4Sx0PZ1/hWI28zJL8RlYqZQsZM47j+lDNdRbI6ZhBm48
mSBcPmpatmtED3zxcqWJZumynO6ColBFbTgVBoPmOJZsOGPBZL9NxtHJ771hJTe5pEWnohR3VCNh
yL0WS9WRn25YEyReZPU/rHaLgK5o9574jPE5lahYutqxcq+dILEYn3O+A/J3UleBBoaITry0XrJJ
9bDR/z43fn6kiskbGji9aZY6eC81Mm72ml9f20jFwPmV4bTtTO/S0ikNAEsKclARtDQ7CqveWFb8
StG9OVHn8fKVWTJ2p9upmAGtjRlDSy/MgCUCZ3iyiy7wOiBLpz/z/JD9/ct/3ke8wz0DzcJoEzo3
AlPH8xZzYXh5VL9kJ/DgDyiJKuPl8qqWbc0fMYqSoCItDG++Ad2U7+N2vLE7e6ObfCWCXQr6Tlej
aAVgIBK9tSBGbx+pnJ3SXBUOvdzdX17P/2NS/ixIUQ+Lx2MOXG60iiEhP5Tdxsne3CkyvZ0lMRW2
nZ+JTjilEYq8K6HFon8CFjhGM9CiNvPMnJ+ZP7RGPdkJQCdLR/6sCnvYucWUH1D/9lFlrGLxqDG7
fZuEzSPR9PWVjWrupskrbXt5GxYNG4rOAO0CBBaYe8+/REtZUfgFvkTTf4IzSjZbpl3XSITpa/HU
miRFgeYGrTytIMknSVh7G8qea/1LwtNNzYoVf7F49U9WpWhRgiSA3bMUucxyizkozJhze0TzEAsq
J8PI+ZuRvV7ex8UIDn2H/26kok7wzpo3uVAnx9uBklHrNzrIAnI3jJtI9A9kxBu9X9Oj+XTOsw64
+ydCFVNDeJz1nYc9tdiDh25A3bku27dyMjatkWxp02E4AWmXB7S5NuSqWOuAXDvS2RKexB9W6faZ
12CbK9A7p/nzDBKDZ4xtb7xspTL4e/z50lKVWCceHJEVLZbqNX2UyQkyIWzKX3jhhg35WlkgyGDy
unOKHTfdrx64EXQAa4tBHnXxS0PjPGznodT/IUYaogazswZtl2fxI2/y666tw5Kscaf+zoR+/OgZ
rxDBGXh/FD3k1gj82g68S45xhMMLJVhk7HQ/5be45uA29dHcLIZHUBa78lmSK1d/8/o1KIJFfwQe
v/98hKIkBp9Eg4MCur3mglVGfsPjNAMdzBj1OgcGahsNveOtqOaiuzgRqhxXZlZFXaYQWjSBxbFy
1CTZGk8cYMsXL8C/a1Of0z1o7n3hQEwyGGgyagCFvI2L1AB1VzO8gIXVeDRSSWXoybS7avssbYO8
yvqftpHbdlDEI3nXQT57Dex6cqN3ld8FCSX2+DANcfe1FgU/GqKNMc/mOe0jMIX67QgWsnRryoJE
NcGjqcsGrQ86xkgfpMDJBemLX/KrJHe6PXpHrOva40gqcc14GACi+lQ3fYZcE6iz9nHK/LeqlfFV
0SToPa9l3Edjz5Cws+R0Sz1S7nJtILuWtqAy0kC4J/2eHqu89SLkxppoxHTfC8iI5FXsEtBOgZoB
CUDi05sS3UF3IEj3vgP2z7+p+on1Qev5Jmb1a+G529ix6ZWVDsXWiT09omj3BH0gRvgla62vWVf0
93VrZFVEMKiOMtpEo6mr0mctF25QppV/35Vi9ALLboDa506TsQdhtUPRADm6/+jYwOuUJ/P4rtfr
6CQmDNTLnKTD3ieomqFtzQPe6cxu0xPSvPqTGJ9BM8Dv/WFI71rMY175ojAOHIM4m1IK/VfGTfFQ
143+FZRX5ACqC/xi7DfVlo0eH8NpNLpDg1z6VVIArA1QkIkVIbnuvwA8ortJ+egyYF/q9EcMnp4t
iJ76OEzQXLE3/IpV8HllY1/1+Wi4gZl2hG4Lf8QgaBPHDvDo4qIfAmSzzTHwc9N4HIc2ebBjM50H
Psr4tgXj1j3egOB4dblfffOaJG6DOk9Yho1vNB943B7Z6za17/W46K7ARavdELebEWt0P98AiGD8
5bauHdYT+OV3l13UolMEoaftAiUa0xqKqx9L6DVQO0Aa3NV20I38xrUnfxP38nuV+/8UTX/0KL7a
qcfDZcnL8Q5BJuV3RxpgLM4dRcYtECsNFWYPjXYbW20R1j4BFy+3t40lEgyOarDJqIcHegm8Cc3A
I72u6cojbnbBH6zxyVeoLrpral9H3jpETvkW6GY7WztM1Y7nMrq83kWrdCJIsbgCgL8akuPA5OZ9
H9C+EAHL46Oja1/7zA/EtEaOuBh9oC3bmpu2fB+pxfMN1sqCAGMpB+ipvLaM3yg+jfdkwDh1CcLG
SAw3ubf5+1XOfBIz0R/+qLMWNmZt+nKETL15n6ngpPPmgpvR79+ctUr48vqQ5QBXvA/gIPWRk6Tg
EUM7BjiJ9OdkADbFtVPewOxGPlq3PHubgT7IMFYWuOTDAM+MXmTQJhgfKLAFyRImOgqOiYkGDtBr
0y7bMDx9Lu/johh0zgJdQocgtRkp6ceKixiRTT3tmwLcX9qN2f26LGMOrlXVd05kKME33hUWsUzI
SDzGt0aDGXAOIreVDVu6YKdS5pWexIPxOFo9NyBFyAaIgRwMu0UozagZkpUAf1khLDx4UfJC6l4d
g8tcynJNgyhHNptJOoGEEfX5FPK2Pji8cwOKHEba+BHIkNau2+8j+bOdqL75KBQAMQdpN4zVm/oM
gHeyUGDI12Blrqpwmz9VNyy4DffXD9fRLxLt15p4fpvlP7J80wD0F4Sg4x5BKfi2lUhq8LRa8gyu
kkUybDdgEo+GSAu0AG0umzpMIzBchy7+4KUYdpshlJERxkEe6AELtUgG8caLnKhfOYEPNJu/v8t0
UOLBxL/xoZKhlYkuNZ/IgG/m7xKRiND6Hbb4rin4811emIWIMMNxK6P//aoiomESxaEX+SFbsbwf
wIzwntYxK4WJZsAofeyZMSQcMTI/Q+CPh6wMjCRqSAAb5T61W+M23mvVtRv02KGXNHj6sbYppnoD
VPHKi0jouahB9jEEWhqAM8h88L3wfzj7zua2laTrX4Qq5PB1BoEgwSiJkvUFpWAhZwIE8OufM7q1
dUWAr/DuyjJt7/W6J/R07tO5+7ovKOxKCWCrJHJ9u1x9dDQlOQHnDOQLgAl0KVECaLjJkwcANyvO
FmG+IOAK7/qWR6tsbDqpilVimubGNLfmZovf2ezbtontuoTgl61t2/gdcYlzIa7jkJODj/98wWHO
38mJOPjPLn494e/h71rsv+ODsm+KL5N9UEpMejyaK3xvVqBlsg/8pPhmf4X9VfYH83NzPp43n5vS
LPGnzQbfnxv2f8E6NwscMXMR2MBbnkexEbhBEgVjeiVKmPN9mulEIQV5/Yc5pf3F1MhgRSRyOhs1
62ZG/17tiuqS5T+M69S5bq6kJefS5MnXp04DWzOHNbewNmHGLng5bMQJxvzxAIRTJwIzFfs6K7g0
pJuXjCQkYEf98UwtelwoDp3BnuKNAidBBjuo6PIGrVtuCAHY4Cs5PATRqU1cuuN4jZkS3MfviuYb
hv9GXE0ITTTNVRL7ZIh8QPyS7FtkAc4U3K1aEv4kYZPsZ4Yfm5cXc2tY271N3J5t3Dl8yMSTSWUq
Vmkp1gc5wEwlSN+QZ8d6oKvj5+dmaQDXTJEwvxwQ4xKqmTDyGUd0ezBtj4ZwsUEEqvyIZYoWNvhm
3Xp4ub73f9IFTT+7BbAfeNFAFQcuHRcxuW/AzwjdyBUhfbHfbffv4cPaPQSLonleKMIKeDDlCyko
zGLWZuk2rpTacMwielYI7poQD6dLqLVa4KrvxO7Py2b7gX2EmV8Ys8wgfG8PT/TFtBDh3lCIl639
sv3ny4ZU2UK4sO9/BAUTFkxiOEx+uPjf2c/vL8siVk48j0JsHFdfx5W5OUI4fJ5Xv/PlTDFgqRiH
rrKZRayRlp+o0ay6KLJftBi/SBsKoRd9Syy6WmqR/E6ITc4E0GLoCQVIEgITU33NX4ssyQYcPpNm
kLXYtEUWXtm9GwZenYDoHyYLwSaYeBi1ZGRZFWH8YkI2m/PG3L7azjOez7O1cMUC8xxm2/lBaSI+
+TwQfCMEpc12i2uDbPofLgbNxgIsewxJxiD0Wx6KCqOIm2hkBEzzZWv/JQ7Yga4WZO0crQAM8JPO
ZCNClxVhUoDO9vX1/fHxMYCZ8gjBw4yVEb/Hn0Da8iy6evgq6cPXw5WwH18DGUjIflnIu30Xuk6P
FrUFKJjQIZDFKeJjjd5EDOsUwCnsubh7qGToSCjK1QqK8vdjnsdPv7f/LzGmin6YrFcNWlCpGDGo
fyj+E7Q8trpiCvp3UjMVwJ4acLx1YL5/K5uJM8ojLDJcDEw6ZVYHszZc9uzZ+2cmwLc5sETz/ln+
oCnebi8wkr5tqgtoosac4AO4d/g8Y7cJLNC/zrNz8A6eZy1c4jzEO9nsRLG2VSeGfALCkIAFse1H
5w/dLQmVu+/955FOBK0WCGJZR2x75lYjBqTnwQGnPi2xyTwrNtnOREOpUVoL6DgFoRfTdh14Ngvc
MfNnvrlDhYmOAg0U8Uy796S4yLlk+OemNhp5wQhyy7Sh/Evr41tU0hV7AwtFr/ef/w+yk+efSH6W
jQLIMv5IyEtLX84ALYQ6GOjFZP4LLEL7RKApmdVxgdVBnGcgvn77VCmBQ4kfOP8FxfQNVjaTAj8W
NlFMOqYQj8B0+Oe1gInM7fcHHg57PEyjQlWyx8o+8IkvD79+P6Zv4xunhWe88IbZe/llVdMqaK7y
q5a/WRVbGRb0j/Zmq2BrYU6A9a1Jl1YgMZaergAgAyjBAuQF7JjJuRSFkSpyjf5ORvjbT2GuCvNC
nrH7HV0zMWke7SWj5jtudUMYPaUKcDYM+LaopZQmkvIS51wc6hIUUkH2AQlIRjPakb/43Uh6fAbM
mrKwBoKlON6BntyT41oWlvT1dfyExeXakD1wcjbwhY7n8+a4aslXAF/8c9F+ncUaRdgBgN8BCC3M
e5Qf3Qq+ilOVuOX4BFPEyPjifzVEWo3v6XvgFm58KkntJI+DeX1fmngxVyjoljAwIBxlB+ijRwDw
ljCXolm+R5cq01576NPHR6ZScAYPA4FVtVq6l7lhBZsKpibIAZwE0CQTgn4oX9AxKnJEdcaPaJW6
9rj6KzncujxH9B2jNqhKkMagwKhastuZEL9hCWbOQUnD2gKQIoyU271e1VDl1E4D6SfReenM5Jy6
16sjOImbO82qWpAJM79QnNCbsGCVKy0vlqDX2cKD8NK9iPSUUL8xxYN39URPM3lHW3jy/w+iKI5H
mwWLoEyCWrXccvE1ANE0pVpgvkbH0etWHw0GmHzlG0hAG3mWp2rJwJz6wP/s9V+yE2sh8o0IY6BA
1hDpcDpmXzwF4jSN+M31z/NgZu4TqlkWa+mZ9JjdKC4VgSsAdqD7+PZGWx5vZmSbHQ1SrZUP0Rkc
fVt9XczHQ5ySYR/ijBE8IvETv1Gt36XrzOn83vMP6hNrpTKasZKBuk0GhYwogDhD4QCeyrc4R3xe
wh3+7jCa7xXpAfi6IuLYE+4tsgjVJsAlIrFXfVVnEeIs3aiu4PSn4qVfA0qLVhg/SJZExF3CMGzx
cOBAIPo8IdwkfteWHAhnmYV6CAttNJWTb5RTSq7eYOu2cbyueie2FqNfjFenW/5JeSIVOc33RV9m
14u9EXFd2vLhQkjgNYGpEp08NavcOUqucli62+8+2xvSgPnAiG0FMx0RdALg1i1ndRguBFz0DDGd
HgHOYGXsJYLeIdO3gX1oR5vEumyyo0wDhGqBa34+XB2AykN65SQ7NHvwwMa35N1udHJauCIJzKd0
wecS2fana/x+5fBTUfY+K6MemyaVihZzFE313BPNwoRSS9q9lrCBUP3nXLxo3dHMDUm8U47pyXAz
E2LA4R4LS3EXHsPM1MAEAQh2VHSz8nt4gbcHZqB/gC9KGclrWxNJ1BDR8s3SagJnEAmHMxw/FyjO
xPmE4oQ7AgP1VylGktCas6Mzh9pDWtF8E3gVnoP8ofx/xKWZcpqc+M0mJ9bMBeNpUIsNku0657Zl
BoJ/DdpT/iXKMCGLCJmJ7ijn943OvSIZg4GhnA0JR6vgxm+PVuLUsct7NaSdWe0CohF9re2zE3AI
6NWOv1QTJQeITCdevvuSrCvZpZQn+i4jb1cSvP++mHkEZrKYiVJDmr5RLgVGUw+IByqsz00eCJAl
PQw+e79Yvg0clIoWyAyIRC2I/19XEE3oT24dHQNi1Yw4jAGxyIw0u9oWrfQRKDKny0pYjc4T8Abs
lGDKinnZAaxr3a5yaiwUOM6FIpahA3II2XDEPGZ9BXUAozO6IBB1+WgU0qFG3I02gaW74fu44/eK
E9AstCzDFZYeGrvtCQ/eUJ5xA+onqg6UGwtFIt2L/NU6474hKJdRttxr5TURXvmSQJzbbTDXBAFQ
NAhyY6TtlAn5oVNjDhPLaOxJZuxm1tUyLFw9B0NacuKv4FHbdjoFyJHZf7S0vZDfGe/OK7hdwITx
IkPNJB9Nxsz1s7nVGBHB078u3sunbg/r3gw2/Ub+Ei2ZoPYq3ySPMqCWKL/eXZBO9AnQupdWNFNP
OBJmxKKTD+9S4ycrStOxTNoOdlYo0auFtnguhSi+vo1ENy8YF0kGOybn5BGWSEA/eQxMXVjBzPxh
C2BYuQCuAwt+e8s/okGy3nOJpmABXYQnyGSAvA8OV7Joe8zl3i2hyU4rOU5TEVM3qfKQehrGLZAq
JeUmcjP6LH6Itm4Qf0G7zUMyk81NFEqS5QAbVkETCYhHfs1T+U+L8/yr7yNaI6KXvedLJO+dJ4Bs
0NoCK4cZWbeCVrtUXNnxMJXV136PJpcKaSXo+24VOJqB/OdoWVdzAFdl5hIz3ZGrgqTAO0FTFLtM
daJadLXuhUi/pDRZxS3pH3LboCi4sxpAnVIOaWHj76jScRvY/UiazVLO8+5x/6A/9Rv4OColuQd9
THI6aq5aQ53q5kgL52q5I6v8E+jD70/6jhC92fO09iTqu7gNZeaaFAQ19SRZay+YNvye0Oqjx+bN
0Oot/7ncLlmW834YvFkgFsFYQfuZAnF2e9OXSETPyRggX+RJn7U9vmRr2ZW2NVSahTqUnLSr3/d6
R37eUJyeb3xp8IhQDUf5gcqvxao34/2wDU7dKiXZtqeQ3jQ/8nb0hIlP2npxZMoswnC74+lZ57Hg
85EK+qHL7Y2HAL5vdY7NxNMfh8AaV1pCclo9iruRW5BSc5d0QppJlx9iqhfCJPEltnWn8/h4BV+N
Rn8Hg7RoXd9fzX4tbuBFmNLj72f+DQlxqyoBYwvHUEP6HOMupu859VuVE9M6obITPcvQTdijV2wl
uEobzsLkGNfwelOG0Eb5hzkS//EFgMZuv44e/ZfqU17ggTtvDOthMMFs2DRs9olIAxbOqCgp6ub8
o3wS7GIdWJ2BqgrRhr1gJ2Z5JXTJS5hnK2URVjmSooiHIUnxHZT+cfo1kAmFzsgTKj0ANHtwFJR2
yH8Kx9gBDTw+Nx5g+haMtHmgm9EUAWKEgABKOb6f3w+asR9qQtNXCYRJZ/JPfUQ6IqOwRSdgcE/f
85Ci3OZiI0O/xGxzrwCkgWTHRnOw8SYT+7DIExmAxDhjxFZItAos8Y/vtbbhoJX+hC77w+88NqsV
QdYfE72A3IosLW5VF2+ZW5LTvr4mHLOFIUvs+uXi7jFfSaeqEx9UU6Mh3OSXy1olhlN+5bSkxhNG
+aDCKFqqdJsHJLAWtN0g7skAf2dYbE3cSI0Qf69FpOgHVQKSr1CjjskX++j9943PcwwTYhMRWtTA
si8yEAtRhr6qP7N1QjUqf/BmbPXOEpzxXZaCzQ3DE6EPZBgnb0fmqyrwOQgR8VjDAk3d94gGW/Rk
ZXCDxINvNy6gJPVdsF9qrplbBexU/6U84SijHsPAV8OE1qkNzP6vwOM/6nPsaAs+xXdf/0Rc3RCa
nGhuJJFfhyAE0AnjoTjbo4MYGuxrmaif2VY5wbeg9Q4giequfloadX5HG2OfKAVj7WcYvTlFvGw0
rhblEhe6LU6XvX6QS0Q8Kir51KABjV+Lw7C5uirieM8LrMROcLbxH5Qnb0gxwsIIGStdXnSF7LmR
CI5qShopPjCZY7BrEpnNJnqPnS6niw4V+9d/o84kyg9hFXEYTRciW0CrMwoeg9VeAMrf+WqWa86J
7EVD656AQj0B/AWYmAi8T9ipk1LgXF0gG9Vj9gZ/fjeuOFT+tTbaGltavi3hbN5VAD8JTtgqSRU9
EDMQvFIB4ysP4+rQbdA1cZAcBGV5b1EEz/0i7AvA7TK8ImRe+AnBOM0Utcugdv1jvEfVP8RQt8aY
MdGSPv3TAu8w12N6eyqgeVnVAUYYTOX9oBZyL8aQ9y3FNIIwo+0utwEHaFWmum9dDMP9ih7bB31J
xc1dIhHq7V+6k012oxZyZQS6OcrPdpcDMhr9OiafvCciBiRAzi8mie49kx8kp20y/tW/JKGBc03d
0ZM2kllRY2fQ0orc5oP/EInmDSsFr/Y0Lmi5e5bLz91OsSHi5io3GNeQ0ORsePKxNw3bh718/XPZ
+Ha67k4DWaLJDnB+sZhCYLCCKnEq8IVWjXolbRM6vlx3FU285DCuJRotCR+mOGZ0mKGAOhw20Wvi
23axlihhDDoNotvjA0L5drQun/PSCtCSthnc6iF+wvQjWGzu77w7KUAGu0KFfld3aRKKLGYQXJlv
iGN+6WGr0KsTnVJTsYGmsFLPNoYT0W6rvkR2CKbS7cZ7Gkizor8v4J5lfrOAyd57JdILNcACenOL
AuSPaFO7fxNPdeOdhKCtmpP1EgDYIs2J/JPEqL+o1RXybxt2BCkqYx/bqhMd82dli7gi56CNXLAi
1Gou7JZlg6Y3rTG8YQxFYIN2J09WVgOl4dhuK43FKy3VzDzur7K+PrabxZDJPa2CMDgEL/DC4ddP
UlNJDxdzqEbYK+u6o0DlNsXPWqcdLN7gQoTYrO2F7d2ThJqG+U6wRjG7a2roX+tSGERNSugpNYiy
R/z9T0Mu+YrfSMfMrC3xBOKrpWd612xAfTtKv4CHgxFUk1PN5SQco4Kpl6Nhy05xGlcMS9S9WN5g
arCKiQecHLQmL5lLd/arSSjNYxldFTbhJFpT9l2W8LGSIEDU0vSz9KLTsH7kkBXrV4pdIzqlreHe
7kWS7wKb2xyZ17Fku3xTuWUqhIqQUMZwPthM6HkD0/2wHlQALPB9p7JIAtjYfRURoDcry39tnMFC
Mxo5b8W1ZCsW5OVInjOwQbcOzAvSV1xMAJz25lsBDbeDswRweccdAPQz43bMOlOBZTIxqzBZhAOi
AAfxci5FK3iS3vk/gymqWzmAH7jAfXNxjQJ1HYkKDGRFKHKaXNcybqj9QmXhuubcvgHg/V0yw88C
fYiolq9RFv0JFPrny1bfLM3Eu5MIw0gthhwKWEGsQmUi/scdIARqVGiRSugGl4CYHdIBzrCu3Qbx
eINyTxFFXNQDtviOe61JYZVO7CFGjkZKK1gQMrOGCuwdBYqAVURDBWboTSs5hIZFWnysRdq/RlR6
aawHhLac1nr8YKUd0ekjaywE71nMFuBRshl5JUnXxUNgj5ZkaYfc0a2Fu5m/lJ9rQpXm7fnwgxBc
ryz2c8VEHXK1gKBjXd5TnhwGs0SldoST2HCrJYErzm0khDMZ5inAl1BWPB0p2VfocSuMKKX1S/Im
0zpHOVZ3RhOpHXjSjlRXKpPwbd3irJo15r19ffGvi/EPJgZuHygWoWGaENgToJNTMTEAgUrv2zil
AiaMoHHb0df8G8LXyblw0k0e0nHdf/WNLZKFU58b+mjPZNljCGXEsqclsXEuRZp+Qeq62AmbzMEU
LZPnUJKmoGcd7TxjTPqF1sg7QcZbklPdKmgtcERAUnRyNzo95i5a04Vn1lVUfuGunXAnHIVXCR1F
NZqPPn/f8X3yButwYrhos3mHda5XcjpekR/Y8yENTgweEge9M6xxF9HIDR4NB2BYV5NFdv1d4f4P
UXQcwI8VTKSxxvEZ18cYCN3bgq08hI8hxmCY8rpyyk0Vo0qDamsa/OFfamIsa+C5zgeiI5w6aFkJ
lUYae4c/5FAUAn5QrLF/buVvizeuIf1Jri0M2TUV9EOTbDGOPTdeQRG1VDwm+YDRvpNmPyhmwjBe
GwEXzh/Vo+DCoBKPzd8MNQor9eGimdyTj3o3CjBZc1Gq3HtYeFowmtlAH5Su3e42zNgJyEoKwzl/
AcPtw84GLogZXExctMnHGBxBi/dFB/rung0M4oGXyVDkJgaHXA7SGEpsz9lGs7sXzHkjPKZWxGQ4
5KQ5KI760JpvaO9eMpfv3S86I1Wm47DfaTllrkSBXoTIf2E2k9UTKSA+4vWj09rJJyITyeL1LhGc
CG4Vo+UCPgfB2Gu/ctdfd5tLQDDSffziMS2DLIW6xHsENXSZIWgOw3VWxi8XRlsblYg8JvC3bO3B
IBGmrxA1JAePPD+PlKC03lLJarkb856y+El6cq1xdgXGaw/S0r7NzObEUW6HvJcTbJkvX7kltUhv
BQ9XM3+SvQAVJb9LrzuGLMzIf/c+Heud6wDJHjkhpfqr8BDsirNgQkHHD3+51+YgHNeYV07q7VJi
/U5gEyzMhp1KqGdhydzbZ1QEVz/IfaSOEUet0FL1xe0jpLJLO9+IcHc9zbqC+mipu3C9WLXD/vGp
cgQKM+bsAS4ELvDk0IVr0ehVE2QU3UydQbBnL9ligELiJmbstAH5/YzvaQjYoug2UgFTjlFnE0st
U9O6QyQX483oaCOSQIN18Ldehc/BsXwHa0snvSTipwjZAbmF0qncTZ5/X8OdWAZcBhndlOh1wpjP
KYKCFCnANNGxhmHN/5X/VCzBi241mjwqtN0AqcLCRMqlpup73AWjEOEFjHhjvYwTbyWMuUvOiSgZ
6u3BEt/8V9EaYRFmhR38zXeoytwbiLW68XFJiMyjRrKB1Be0EqQ0BktMrrj2g1GqWGIXOQl+ILVG
VDfwANmuL1zunS0qyJ2rKgwtZJwQtLnl5EuaC1V6qWDwDER5RLLP5M/Z2ve0LSAxEanfZp85zTbp
etHQnLMxKMPoYBV78LmnEUfBx0AuuUYiOXbFV/8NTYoe6iQfDCTzfLN46fBwV9crKv/X2V7ehX8X
5eb8kDGUFkEk4MMbCDDMQnNcBg9Mhuavds2RR+Pwk4ECpavzmW4Vc4vxP6GpOc/CigQuEM/RDFki
G5lTHQl+9LcvRgrnqhl2p4YgB0xPGJ5TBOESQ1kNuYBqjltQgChZFR4wasuNvwpEJKIQJMwdCLml
pzU3eWHpI61usCwn0mITDoiyEpUygLuh4rE9g7ktCSP8TN4d14WNUZ78Y7NaeMxzY4BN1saASxSw
owhyWk7eXa8Vxm75KR0cJLVTItLipG3SvX9AadZXHpAkIiLKRjhzqeT5jq5kpBlWBxobgAo12aws
JRc/SSC4hQflQV7LFmfF7/LxXdl1CHjTxEWfeLsaMgLLV6JADnOuS/L0u8D5Vn7frmFi78Z8BNwk
A2tQPiTUAPlQ1yzTGomED632XV2Ket/h85s9MyX+w94MozTs4hD6InTbbYFuGtP3MNwNxsI6J8KR
c4bnFvUxZ+nx8mfhpuf2we1WJwKUw3y8VBax1foFEHtupJvdM9qMgcHELppeTom9xFx3nhEKy3k2
ugMpVeTub3d7wTDteojAzjXAGny3fB/RkVYRDBQgwV6h5ZY/9Rw61BZ2eucV3ZBll/DjkGNOitED
q6MMyYF9u+rtgJB609P2pXqoNotpx7nNh7KAf3c5FdsCV/VjJcLIbEjgoI4O+0PaZod3E5PM8aGP
XzATwgxPD9K6pmlsMrj4eEl53OOsn6tgq/yx6aJvy4sf4qxHxE1IssVIUBo+GNZf0QXYEBpgyoq0
m02/xFb3DxsldCpzooxpOg4zBfSkxjBlNJx0prJqdxnl3jJ4bD5h4dJFE+juk2Xzf/9DcKKPWzSM
io3AZKQjpLbv9I/BEQX8IxXQ+PK/lNHhdgFzwrwlHi0SEx5ugQobDD4EZEv7jwvuMSOaDSYm4kOE
uq7y2NOlGVZ3Mo63NCcMrOeAfFcDPNXelr+SzdVCIZlTeOmuclGKYCvuksJjZzYVgz83OTnTVLnU
qtaBIO8Ep+wp8hK3t0rKn35/mXd59N+z/LZuf/CoUkaheq1BprM1u41JYyvYTrfAkktUJnolzsNB
kCp2eh+jGRx9TyygviT3970sHNm3dvuxF6SE/Ut6BZXY8x0AvTw3Jqbo2UvS5U4Q+oYXvnNgP+i0
gnwJ4h505KMAYXbZ1BZQw19Q+XP8fUN3uO7bwEUxNqLwKKGcKAhfMC5l2OlIGArwovSSZl8GilQb
iXXlaK/cVn1IzGL1O9U7VgCoMkA0mAE6ggKT22Jx5zCqfCSVrPwRoWea2TGCb4aXuo2Kuvx8JeVn
zSnp8UoMRKcNb9GJm18leu6xZUPBtHkN7bi3opNvRANDdTIYASQ7JWehI4EVCxSGAInWkeMDIURC
Ace2swI7ewDA4u9HcMehuqXP1vfjiisMrG0MCZW67Xq0BTO15T/CbrBFkj7p20/NeftcIDiX2TcE
p++w5ccaWHcg6L8qArkCUPvcbQRiWMq2ReDvC3mVpT3O7Uw2th2uMo9EA6uOud1jzA9crfS45trk
HuJDteseYs1UPWDrdGR0jFeBJmblU0lZlDp3wujAGMH1YgI6QpuIp9/S7rKqCoNLi7DiQwfD3Xsp
qDaiaFQG/MGu20SARVIQkKrM9pC9h5YOFkRsSFo6gnkWActg7g0wjzHrU59EN6Wr3xf6BY6k4dtK
S8TtQN8zCn9SPBi5KR0rN/IQVnWXpO6dCAkijFBfMMEMwB5O0zudodThtURQt0WGXlsZD3/RePOB
I6hhjqH4zOFX142xKl+uhrmkWe4xN6B2gLQIsDAMBJ/Kr7jKdIEzcPjRm/GICQQqGT3VhKsZIDID
K6lDp41uL1XXzftyWUwGTcGINTKffUpWbfsAuJIIcuqdOVjyNjRFVzLzzWCnJivL1s0QhaOkyDHA
0cwd821NdWuh2/5OTfrtIibWfqSVSi3zA3Ou4EjiZb0bG99sthG6ko2tTqrP5K8nkmRfmvqCqv3e
4K1Kv6U95baq1oH7CtpgOKADyq+vSK/++VDW+h6mIVGP6G57zY7F42U3vqsRkOGpYPlvC5Jm7nTc
rmIiWjFxJcdUEawCJWF/Kszs60n5nj153Zn70lfy6ZIgY/c7TfGOqEHrLvrl8dxgJ34XUPwQp1IU
YXrqyCOMgiki+woDvJ0LoOK0/WOskQ+ehF/q43NNOIPWFnAvTSRYUSXXggfVXbuJl8q375QlIhIM
zke9moDKS20i3tWLoiWhL2dw6q8A9CS9p7tW4iQOeo6AqoL2Tw78cCVjS544Z7EPZH4FII8QKR4E
JjtB/NxKPznqBjUTVDx5ZZNcTVSw2R3pj9F2PF5SUnH2m7jYun2nqpdFv5HaQFD0Ti3kWCrFRakU
YAaQhrRrZHEvMcHkIji6LUoy90DJQwF1uZIARlcPSDNnFNWvGKoOe3Cxj3xuEN4uRrw9gWTEiM+0
wWIgdVHBF3fwEgJIusshtnH//It2Qi0sYPkiultQtXfMm1vaE73X6nkkJDlody/J17A2hcCqiHxo
/3zon6PTw0m7rK6eqpH4qDkFc8YX3eG5F367hIkUatF9VNbsLgrLeJBeOnQPSFvFQXM57S1uexSP
5RJSwLyCETEsVExgThvC1Ijs3Z54iwKia1AXCO1cnIG1GjZbiN5901jJoV8idmd/KNPA5BdwOPT8
VL37PuCD8kLDqMBd44TPMrAePbEl/MMheQmtIF7Bdm6WlPkdnrohOhGvIhdmuZ6BKIC0nGAlEB1D
QlfNn/JZ24orca8AhhsIDNlGYCHb3yXcHb2CfAPkic76nUQUY90er2aMfelneobGC9+ptrGrrwOM
C38XDwHtj/k5MhU3+pM8Rw+xsxRHusfRaPDCdDWkSwUUy08c4h5dm9emrKA4af4IbG104iiC2aYI
nTUxmmhZD2viBY4OALvUgph/zp1FW2puwUKpI+WC2kaUAqOf8vYEukud5hcOi6isNLTiQ/ake7wr
Ys7QmnUqCBhN8z+YsLc0p7oMuYmCU0Cz9rQHQAiyDi/lJKOTPgOqJ9w/qu+1dU75/z5oeEt4ct1A
CI+MPqwR7j6mh85kGbY/ykZEhFZ3NQvtT7ZxFs7d1qeKucBpdx6yxkOG64iXoYh02oiCVmUGQYIB
uP4Tvy4fVEZOtCsdHUDDElffpQU9BThbJLhQSX97p1HWDYAXGRCKxMw55KS5N6MzUXSEOP/ivu7I
DATY/6U14R9uTGIAloMWqo+zXbbVP0Ob1ZCLtrinyDZs+Xd+YcDeHf+aBfX/pTl5OEJRDeJVAM3C
CpHdKaAZQ5PBcknbcHcha30xur20ywnHcrzAOgSRBtSgdz/4cxIgjTS4qIQ1DSB8CjRdt+5SMulO
b+DNPqeDhousU9RLj31irlBjIWWGaRVUfsg3sXnQjg2gHn9n0nmbmgIEE9Z5gRZ/yKSpf9Ok8hiL
RlTAwlZsbvfem9lbQ2pkuKuGOMNH/XxibzPfeMkeMB/nB+4xXJevwDJ1fl/J/IqxEhSQAs0OFVMs
oXLLwklXGlVZp6g+XnEXRz/ygCYW/1wUopoyMFw6J/lYMDDmbUQgiagJds9wO1HPeUvyYlyTXu8x
hH7ch15vdy6GTVDhtfDkD4AfL4kiZirdeBUTapN3A4BZHxwMahcbNvUKZceOsKk34w7tzD2su4Xz
nDEwI2eozJIETBpKg243p8GBavmsKqgkACDgAgCgkXzXgKkYmut165G+wbFcyvjOHWaQRTgK6g2e
OrTL5Bp9pRb9ur8i+OTGe337qH6KLtr91jwCYOjBa0yKN8VFC3w8r+z+JouCJGTjmMcs3+52yAMt
rMsO3LNHBrgzA4ZLoT/ClkkcbVt49VldVRvDXUICmUMDTAhPeEgpuWteZi141XntQXjc594V7GtL
DwVJ/pZeBUmFpNwFhk1MqmdubbUoGX4bUBCsuIv2OtNnUyZjsxn+cw4TJlMxLyjgVSzn0ljKSntA
redGBRaK+FAWZmP3FjouV5UX7ZNniqliCzx3hzpgs5GARwoe2LHyxGKPQy1QM0ydp+qT/qp5DCK5
of7BiAg0BJJI5rgWBcJtdRuNZAu07/D7De0JB1RxPVRtBdpAEP/KzrWXHqQNqtF0bNso6UilipRP
/PMCWfbPTg4c2EQqakrAeIiBTp4Zhl8h9FuCLLdRgXojeNpm3BgW97cxB0wUIPxmMe883ylKdVhF
KQCZUHKgTlRTKFyjXuuKkmVx7HYd7Ypd8YS7XSEsBVM2QXtVu9IeFzbKfN3bjTKqwJkWeBExoamJ
4YeXVEgxuJCW8LSQoPuTbxDa3qJPzcQkpM/fqc0dfwSgflKbiJHk0jcAQaqQRxlWmQVArzPDO9J2
3bpeJa7xBLAvq7MuaJOTnPoUmeViZJm9lNl+WTsDGxWPFq+J76/GRRHJ2aVEoBdQ7Czeo7rVtl4F
qHN0QXYd90T4E7uL1zt/RHBLEOXFBSP7i4ncWNiPGEyXIsnQQZjR4agAA/4ITJNircao98vc/Blp
0nXuDGbi+ijdXpIf8yIpVjsOMxJNpwg3o1bolnhe8hmfJhnm5e2LCH0FvZs4w6F6kW31QSVv5RcC
XVZhobrdQV/SUmLoOyM4OXSkILF5oFBgDvA0I5ryaZPLEli7XTOkgOEIk50kMmYdoXKEd/3VYOZW
/KQ///cVeNj4D8r6RHSNiTEGAaOs7LNdur/YKD+0DrndX8iItgr2qJr3bltXRFnyyO5cOBxSEdXD
aFtHEcvkwtOM6xoRU50xyw8DxJECz98kq0VwczGexYTR5Hhh7uhoXEG1H5AA2Ep+sFYSqWpahEJJ
5e2wDk7DLoKJx7mBm4Fau+SUzEUjJjv8S21qzGoF5jWFHF/S1AvR9VB6oR1t4WvagTM6ilMv+td3
DDpQBHIw+p6QkkUj+u3+dG7UrpgyyZ7OaA67FN3Kn7U12P5z+MrZi+D77J+bHqcOKAVsEsMiUHt2
Sy64xKl4TdsS03IsAY2f8OGjJ/6g+Mx598oljJh5XFpBfTsqB6FcURQiTulhdnWTY2QNeNSWVoCd
tWSKcVIb7gmoT9c/6Gug4iOGpW1Lx7eSmiTv2VeyyEN3bvXnImZ1VrXaZ60KudgHiD1GFo+islWO
jicgasgirfbcYw84kYu5oBHu8C6zKzArk9dZgHqiaNGCU6XJCLoasm2ra4Y2s1fxABvzIOwqM37m
XYwjYE0t6FdEl1tekWqzWGu3tIiJtRf6RS7ELW7gYguegEFxqFQWretXRjECSnVZpYGPLHN+5u1j
8N6szwuHwNTehON+HsI3FPCPBzxIWomJcaAfe5j24winCC01/UFPSI18PSKTOYKgz6Ltn+Jn9Zkn
15W4a6lhPklOZmaLvHDnAcDSQ5ga5fYoip82GmZq3mR9NiDdfWrODeaRYHCUVx04JIMP8q5ZdMrv
6OQbehMhDa2Z69cC9LiVfhwsfhutpcJM/4+079qNY2e6faIGOofbjpODJCvdNCzJ7pxzP/2/qIO9
PcNpDM/2BwO2YQGuJlksklWr1nop0VolrGMv3iQnxWLhZ6WFCxdqYRC+AA0eGDdoGOs8xb0idUCe
gfxLBnOLAL4rXLScT8FG1sztzoEjbTTQiiDBo5vxJl7jpu9kK0jprsft5OQeJFmdR3FXPebo/Lrv
EwsPZ3zTn6/TqI1RZrOmZhW+Tj3XoSNsRUBeegty7IU7ufnBd3j7932TS7eEK5MkRly4oawUatkM
MKk9vkbOvAaf7btohcedYJEWf9/MQlPeRa6Eqv9908zRUjtQmY26qUSY7n5rT/Nrf/zANcyDNsvm
lHmjlbB4zhYetJheqJQRZi70+N001QkEcygnGGtgh0+AiMehmf6enMo5ou/+ZbCDRwF5mjXUBCHD
w0jQf3eAUxse7ZMo++NQQ/mdjraa4QdhrXZI0DspACQgE3K+cQ67XgR0XHFfB1NwtWNkGgfObLyu
B9C4sN5CRwJHq26OW8EBw/BBt4fCXLWvExalf5493zyXtr8PHUaAuk2vA+xNVHJ0gXTlIrVy7RlJ
HESA3OB7k2ekkWa7/kD/BB5fvzovARfnOtwpJ8AEnG6lHv57FhTGgXEHXSzpBsX98dq4lMRcnSnA
uaMH6h2KmuPHqNpK7eLoz03pdN8Tb5P5sIbuXxB8E1oYlOivrWmqmodx0KMWVGO3awSdqZn922vh
Ed4U9avwNA09aGBV4naztVG+phWri3/h5qhqkJ4hN0cg7WhqBLkfczHoIbdev2ZId4R4lcUb/2FC
c5DDGC2ZO8oRdaABQDoIQitwtFBXxyhNgi6qfXQuWLLVPw4yKHnNCQJtz9G2XUtuhoRS/mCA7h6F
0ZOxNrwuR5+bakLNtwEA6P7nLIWBy8+hG2bUwk/ymjMyK9/pnopqSuAke3+F3EK4lTbRIxMIsnDt
uTJIXS2DYarKIsb4I7D/gi8OvWbndqXB1PjsgxWj9L4YQ7yp0yi4O/+ZcZWK6/OQ+VKfwOJgtVC0
NMGUsIndEzp1USgRvcS+b28pqF/Zow7XsBsGPatgr7XbnbSbe8swE9Tc86Ns8T8LsL9CndE+YIlD
pHXga38R2q8+gNpQeVgXalN8f0Czb0QXPqa6n8HmBYeqr5k8tKjB3PVfR43LpIFgRcIFnkU0BUcU
d5CyTXCjmizBrl9QOnn4wE5G8z4eRCGi6WmDno1TB7E5Vi3yNoIQEUDsJQ09QQZiFhWvBANdq4PW
1nBi8Z0wd0bO51uM/vzIAVeeC9oEM0ek/DFAeez83xVBYB2UqmhdQdofv1EpFlnnQkUcutpqcHyB
fOgAeh6YRekx2PeW9CxhL6NpN3taJcxmv9uXGmpfyCOhCwqNWKRl5zp4BoM6clLR1Ja4B3UZWIX1
dWK9FK/FOnFZsWvZGEGRgIYOrdg0oGmU/E6OWswzh3zovDIsclPI1rODetKKGZpu3ghkaBfWKDcO
Uy2YVQNDqxx1E2w4MzymdhSZ6vFN3uYxY9veglwpc5QToeOlEgQUdfHmre0SCAUoTGgpWn6QMbLu
b5bb8hRlS71eNVWIAVTsYGvYdM7HuE089AW8Euw4545HZjbo5syhzFEeKsgdOKzI0NrXzpl+atse
ZE6Anckg9ggeW6/+cWbuyZtKKmWTSq4i+6QPQgGb+jlbhTaphU1WuINgjpSBrqAFRefo4X7Fu7nH
ujzdRHxiWwbFMal/QYyDisADOsmaqYZt4dP4Sn66/l5E0bFzR6SvN8WauZw3r0nKHuWpStTxSUmW
U95zABYNuKoQHrQK/O3IeRF6zNZK97qVe/f96ObaQtmlXLYdJiPjKtgF55irx+bHg+Lx/x/9B8vj
I5d3dElBoYHynxSSR6Fg9IhwG9HrfmV7sIIAzZaB4Kh2+p/R+me46bbokro/vNvLyff4/tilfMjI
JSmWY7SqEO4Jlagy+rv6o3YEgIby1PxxZvWlS4sxB7UAQQVlFdyHWsl+BoY1jxDLye3M2DXOUVhP
1vHh1YdqAOmr0Q7ieh/9+KWa0xsYEMzA9cJtBPZN4+kHM5dKwsDVXRHjh9QywRMBWaTQopRcEQtF
kss1aMjR6BqtZtxLZVM5o5W7GFACrHY8iGrmU8ezAtTS7kV3C/rEwAyARCDlWaGMElAz8TXK2b2+
Kk+4FVqOekSRgmfcVhbHeGGJ/PziCRzx0MTIRliqnB5q63hr5QZjNLc3MjKPuBIBWE8I376Rghc2
Ej2TG19TEf8+R2hg4onhaQB3qGt9B2bPGeWP0DwMZgHGB20tMq7Yy9ZxQVAQk9CdTadvoXWVVd2I
VZw2Ymb3klXiAWcJHjz4YfDAq6GYIefAvBMStnMDrcU2szfrthBE5gDQawAwRTSK0RxHXR6FQlKg
iVfdNz/1hyAD8D1ChmP61Fw0b/+UZlN6r53giQdWrfyMXKNnLMPSqQcFTGijE6ciOp/XS12KAfKS
XdRYGfLzbnlEY6+r7PmvFhWoEvRJovEXZ/qVRcq5NHHqjCaHxe9XPyhGh5MBLGgLGraaVX24bQoj
Cr8Xw6Nedlk5qiBeCKHC7qnn0O6c2OZSkI0/Tp72xYiMC/sTbFkCsLzIZGNGqRNuzpqUr6HWiBMO
44G4SmbCl0e02Kn7+Y1hbCEo4qkK+DBMoYxHwzvGSK3KAJzHeCwZR96ZQRcIxkII8vyMzdjD1mXY
I2GdCntX9qjjJvHlfJbEDJAdAKPPskeYxV30KCA9ZXeG2TrSmRw8pVnsot/KE8M6CfH3rFOHzhgM
lTrnsN5ZBXlAHD56l0fxXbf5x+KrtsJfDIMLpzgyomC8Ad8UAAe0KoPIidXMiQWUsfcAfg8b1VOc
4+mIekC5gsiZl5obtAJ3SEX8RSMjkSG+sE1tkLmuNbE1YLs49ybqAZZ/TLze+d1pJqskurSql6ao
VYXIvZgOYdmAOT3fhcd2xe25M6vouxTmMCAIy/LIMKLll7LSaq0IsHNFrMxgsmlBK4NaPphe1vXq
LXSLV2MvPoUP0zbGZSb5SCaG897ymH3P6J8PoKJAnc3daPDkA4CJnc4qsEm6N0Lkif8C+MqsndAF
9B34VGEDSlxXg7ZQ6I1Hw3wGYb/DcC0yWtqXkWDWUFIAiQDSbNcRN6mjao74GuAVXF4Qd5FR6w4h
Am9AuAzkVWR3IBPkPdZaL70UQSP4xzC1iXIO4lfNCMPofpnXPA53HrApwmGFDRyVf6FuQab9j0Ga
gaUPmhiC7zD4HmyayvyVmyLWfQaOcrJ55DvA3MSY26UQfGmRxJGLS4UyVlmnCLAY73ir++U/pVvu
HTQ7B4lVr7wFZVGDo3ZpqqL/UmnJbLrhGqjfTW5nngEsFAaXoLUaUhor8UV+uD/C7+f8rfegYwp8
eKiV0qV8BXXCVtXgysajutG20gvYINBgfkIPIuaWd0vrBa5spbiP8yveFt5YZcLFGwNcF+kN5EuB
0qGOudAYU77TMXDVQxLAir9C4KoP0YmzUwfdp2sWjHPxDL80SC1qF+vgvUdlhLRhIi07mC9votk8
TqsCZO9/M70Xg6OuQ02FK2vtw1bh8L6joi8uMXkUokG7+UL4mkjx5+SfPsuHwGnxUk9Ql+b/eykQ
gFXcCgG4gogGsIbUTh39UIAGzozbqed72e/ZbbcfM+6nmgNc+WNwKj05wLXi/thvO/JgVVHIkoL5
EwgKOm2Va7MvJFINxGgBShsn2w/eCIdWzBwCbOjc55Hzxp5lEX7cAmOIYbCqoAgEvt4bzJdUJWPT
53gKaKI1bquN8MBZkaOuQeI5n7t1v8kgaDC+CV8s0aulTQwUqW6AV5PnUQIjt6yLeDHWBaE/mcgF
fHRjaM0FqxTbWG4tfyU/ApK0CWVcpzrmK5r4EbWNAYY2wK8CQCnmm/IzGe+raJoFvKJtDfSV9rHx
Is0xRckp976jIywTYmTmdXjhHgUkNDKioLFFbpJ+dOnq2Op+CrPSI8j7Uld7lQzbf2zc2ZrWuLm5
zWQzvGrhuIOCA1gLIQxKNN+pOFnMAp8YHC6kvNc8EF4edBTj5M1NeeXvUMq1eZvf4oXHCJSL3owb
K/BkYJUD/IiKGtOMqn7WjiT/M78C5y59xMjkHaJN+6Ku23P5oAam8IsJm1m4OKK9CZhJTVRIJwp1
ukORd9CmUkMWcW8cBrDqvySrchXt6036Q7AaqHqtg5Pv+L+MbpV8MIPzDWgBW+nSPBU5pCZseIOY
793igN4bcDPmHzgEAWRsVmHBuliRWH/txhL0QHCtwwuasI9RF6tpEOYx66UGz2gO93IRvze4XEkH
cWO4uOcVXiPhUIqBE95oa6RkGguJGVYA+S683nwGYEoGYKo8cuDUpKs9r7dcgv+cR/dqZSGH4Epe
j08BV9GqAyQrBJl74uUI2BxUNJQ1Dy5Yef8XPgecPXCyhI4M30KLd8vT7A/8qDdW8Fx/qo6A7oqj
6qHs8ktz8lUMHm5hMzHomhfO42uj1JJHigFKbGK0/ZzQJKiZ86reRTixGhesvIdpxdjQt6Hryh5N
1tiVIhEKhL3ncq1Dbj07c6aABOfuxUDBsN0L+/N9i7db6togFaSnrIBeaQqD2qP00qJlAsTHTzlb
JuT28nhth7rYjPzcxt0EO/G6Bgx416NfwgXpwhO8yCnWk4tqle7k368/P3JZmcWFV8q1fSpiBWrg
yw1ZyMHxkZWXD60bv2UOItZ2hJwVuW5o8GJ+Ha0Pv8eTeBQhnBZ9+FhiVs51IT92/S3U+VTweSz5
Lb4leO4cZJbBwY2OKGingXQ1/mhey2fOiw+P4X6wYo/F/bFwIbi2Tp0ZhjIpSkJWYtqoju/pqWkA
aSSgm5K0xeufyRt31lfMzBRxJCqMoF0UlwG8+5GQNKhoxmXjxIktwoj6ntstaDaO9YtwKJ1sXXxV
uNezyrO3wRpstrhnCTinUKSkr3mTIVackhnksjm+atBRypxti0u1bM2gqST0E74LLoQfCKfmVJj1
JmekQZcm+uILUEO8vv8YQyWNyYwv4FYAmVfOPnPaD3Q1eCko14tP/6k5DS/1O7ORZuHcgF0UpSUg
k5GEpQK2osldnXNYYNRm36GRBq2hd+hsBuvHCvyrqyyxmCfj7T2ETPYfk1SYlIJ5HhIfQ+Wtfi2s
gs5WT30LpL1gcW8qKAfijXjgTvyKyedLvJV2K1DZ4BdpSUWH7vUki0o5hVLrI/vgjTvxB3CEsQ32
mBWOIw/JZRARPNbesH3+z1ET4/1jldrBs96PUxxwDbpS89Dst/Fv9P+iWcQUvu4bWsgrkJn9Y4na
rXmuNkkkY3wZYLmH9jVHDptzCjTdQSS29Zg8oyQO3ptPaiVr3S81oYc9yMsdFDzPKue1hyLA2n/k
3Z/NiqlksnAwXA2QiguyOkZ9r8Gg9AmmgGw/85Y4mN1r8xTMTHG9hZo3eA/x/EKfAq6RNwV94A9R
ia6wcFNqt6+NJ77h+rDXjwpQVoyVW/JMDT2SuKgSrAJdy4KuWWXMWdCCdTB4kB57G6Dydhe/Qm33
QZadDuqB7U9QK7GuECy7lMdEuSolQQK7wmfihM+5HUFzWQSptwZImyUe5HckXXmPtMn/zYiBZgcD
CGGlM6g3bqiKnT6lGs7YTbkTvhpIYyIE8T8ALwt+7bj9/DMFA7TE4vpYuqQB54hlRfcg6iw0yjaP
q4EHyTVc6Di6oVUBTnfgT5BS+qxcY92tmBK2C3VauBHwc2jQhr41yFuvow6XKr08VNA47X7qnVP1
zrgBb6bkpZsIlOWoZYEAB9za0htjhpdC+6Vdam2FvI4FtSZ2N4OnHbkHHG/7orPafeu0VvvGEgBd
eMNjoIRPBFBt4DJpnLZUC4PGd1FrGZ+TbBov4aPwkO0TItE3WgP4QjmUsfhtYfOayRjrwlWYsPGj
GQOcMuhGpeaYj8NmqCuYbjSw9/AbPweMbXamE3jJVvpjupdKMzsynxlL9waQkgGUjrQ62iaoeCQV
eZUoM6a4BVUn8sim/xis38K9wRahIbGUjrUXpmTqghAPuhH4M0ZYAqWChN9B+Uh+FfvpCK70yZVd
5ZS4/HvwFrJRVIuO9GeUN+s6DVLRkVGSNilkOSEqoR3y1dsP3yq27LVcjEkX5qhXhtDPbQpFQkwq
uqMESLlZ0R4ySpb0QFSmtV26z/6Ccp/ozyOLixI42h2RpbjepGI9AlMsxi1K+qCohjDySjFHe9wO
AohJ8YpX3jvoh4Bg+TyeGL67dB+6NE29NsrRSHOIWrS4lSifopMXyEIlRHr8iO484wypdy8Aisx3
cmYwXDjAEX2JhAeSX0ggUNtGEMNBHAWYnja4Mvh7wW1AtICT7oTyu7KRV+k59u4P9xuwTDkybKJz
CnK1wG3QmDxDGBOhj2CzfSJF4AI9yyVufgFELnH/dEgLyehkLqogG/WAH+xCc9hKJ3abB9mc9z6E
8rMqAQRrSPEhyjG1npNtGpqZaomtrUOvBkjN1U/o1VYm95T/kNYhi3lsIWJdTQO16sVYJ8ZQkGlw
IcwLooPXZrT6VWwbD8JD64SmhpSzdX/ub3HzOuCJABcA7QCidNB5X3t5pJcJJLRSuNom3+1x3van
+AQhjSf4OKi/TLDxu90XZ59jPPf+wraAPQYRIxDT6wp1HA1qzovxlLVWVUPKPVmhjeB3BGHIbFev
8lWuWyfxUSfZVrDgraaH+9a/S/70YpMqyfdFDn22VKTOtCkIprDF+yo3Q4vfqBsVW12dIKBLCKWT
tbIf3EO8eTtBJQ48xI8QILfTreJVbg6uRTCLM0mCFoC5wCf8+SY6pJf8UNeS2qBwdXzlnGAjgTu0
OKcvaK0DX0P8AvZa55zwpnKqtoENuD063u5Py9Ld5Jtvkci3oZGe3oxJXeZSZkC7DBxQ8kYCOXJI
2NZ65FnAFHSSTBF3v/s2lzIaVzapfTelfl+rOmx+BKAE3o0v/Gk68a+V/QYaFMAgEXHtcCNvMesr
JpPowuFyZZzaAYMhxYaR9yShQfpcCsefrMTjINg0QFZFMCNw+OrMjNLixiO8lv/MM7XbA7BY+GUC
s9xqhnaaYhabJEHFt/ncVU/yEUpptrrXkIEXmdXmxYB7aZsK8u2EG+8kYb6lo+DOqKTj4vvxoALx
qdrChj/xR8OSPBlMEcnLI0Razb+g60DcufwEau/3eVsPqo9PEPeSABdrnYfZHF3O+t56uZu9lp62
kUAbcd/Xlucd4lQQvlQh002/+Mdenpqgx7yDvg2u1SCudmb/KoEbRUNep9zGECnAyx+Eor71d0cM
hLFQgoBpghi8jrdCng5xxI/f2RXBrlYTQt8HZn37mT+X5i9UIJ4mE0TzVvqsM2uXS+cbNMHQdADB
JgMApWvjal/XSTXDuES4hQwTZdtj9hN6AZZyxuleg9eot4q3GurdRDR9zZj6pQPu0jzl8kMVRZk6
krGDguRzfE32MbqGSyuASgKEi5KfRKQ+O37dN7sYVDUIQhBeEAJmpHISWiQNIPBHIaQGx/q5R6ZS
O+agFS3XyWoAzY+EErmSIMKhixpNNbEDjpDwh8wkKbkNNGA2AJMsVBMkEGjSNdyuKUQgK1FKFRHR
Xl3+cYRwVQGPU20jAcR7eA2s7gM0aPfH/32QXR9013ap6Co0UaJPKlZXM5/0TbqbT40zH3v3DC4p
/FsHWYwO/6yBBN98UhzcOV4ajwPUUXFqp13Fz4IFpD3OwGJXYJ8OL0zSDfIF976Q8ku9KOqulMgX
HkMvfAIfH+T6dPBd4Qu2JSCB4ELY6Kb4ADGTEMR0PevU+65C0V+AlA4u+hAyISR91ztDTqauHEQA
H7XjUX0D8N6rbVBsmDXQUFa7LRUTJfZ1YX3iEmr+ho4c7yY256aITyz44IK/yijc/fkWyl/TIAAo
UsC3oP6MtD4gHL/eDUgT+F8Ik4hNuP3iT9WsCfGmsubYCYoFWPfVJ9Dt3oXaV3Gq4BNQGM7QCSRC
lF1df9R29qGY0tcESpTyxedI5xDq8OBDAaxleJMePtGH7Rbr1BrsxGY1HH9vkDuLZFCOLM/YWAmP
rxL30QM6m99BTpZsfPszNyNPPBYoYr4MqFdPLp68rG20cEm5nhPKSbOwKYyeLIvufXTwwVX4iBry
fAZy6m1GZ2l8RspG22lH/6CRRWKxMt8GbyADJBDtoV6vIbVBuegsGElXDSGowrid3E62NCWv6Af6
EXPpu+Bj4lO0p7TMcsBtghVm8TIjlBokdFHXZCXp+KpUgZwt65UvmYng9ZC8BamXaKkzACeIpkD+
3A9ZtwcFbJISPY9iLUIlVYKQu4nLRYIMNqQHRbTrbEKUZpxGizYIewbSuPjFU8s5ZtVsFCXGlarB
thI9sS9XZfnr/kAW8FEYyYUV6siLW71O2wFWIkKsOqEPoUgeKn88NrJuCX7dIzFf2zKRh6yVJ/Tl
sUAPt6mE6w8g03CBovFLpJiLDF7bJtOrioaecY4+Oalc8V1l1m3BWLmlM+5yvJSTKpnQD72P8eah
1/bP0fjSRs89M694m/oioyLSUwb6F1EXpEaVhZlQdAneSV3yNfP6VyZODiibTakJdr382eNFGXXA
KHVStJFFgL0zkKbnVQM9AjWMwXv3VerCPkJ3nNzmDEVSxsfpVF4u19Q2CnxM+TCbVbSddQ+0aIaC
2jUPBWwW2HHZj4FWRUTQID5J+bFotI0fkKnI9cksc/SScsVaznMGlGEx+uDW+o8ZypFHWRgAlYKZ
uH9py2M34/Isu3qqWxNaGWdLixvn/t5hDYzy3KkV/CrsYZHPZqvVoXOlT4JVtGPF8FmWIcpng1At
ZaEhM6j9SJQDAO1mGbPgXYvzh6oRnnUCySZSHitrSRkJDVDyPhi1m+RliA/BFNuN/3OOPAUV7EZl
kUgv7kV08eiQLQCvFU1KlJZdp/oEJx8prl7p3tBAZX4/dYL7Fwulo2yDNjDwGmvUQiXtJM5FAjtK
M1mzvA5nwem4xLlvZTGQXVihVinT5VqL0ccBSvRylzdT6gYt96a1wOOJYncugpiVn2JZpE6hQvLF
fixzQA463y26t0oBBp7HhacLNmKcrO+PbzFqXIyPuvWhZzpWuwrW+mrNCT/ieqMM4XmuB7uAyquk
R959e6zRUQ6ZZ3MfRzXspc3oZpp0KtXGlPXUidr4MBZiythly974r5fQUVFvxVTTInhJLwDBOT7V
ze9K+xq5h/vDWj5x/8wjTVwCDGUUlznstIb43iQgTanjnNtCDXwnZhmaNsZRdXKwr1p8mQFSIfa/
ubZkkRqwRiteH1BNhFglkNHWnCvqdgn0bJdCRkBj5TMWlxHNcth3QAaDo+nakCGqmWhMWMaw3GeV
OyZnoUTetn4J/dX9mV100AtL1AkwcJqRzyMsGeJzy2Me3RxZhLw2u0Q3QVPxN/5CekoJxwnaOamo
InND2kY9WccKliLBziBs2M7iXk0HRuV5cbEuTFGhJa6Tki9BCmABu/Coi8NbrExWPqjrWjEYo1o8
ay5MUTGlibkcQmGYRDlAHcdQ0TTffcg6U43stgyJC9KFHSqaxDLkdb+bh3JQRM12jpeKGJZ2Dt+o
0qcWcjntadYtpbXvOwlrKqmokmjh2BU1prKSZLMVjcJMa1DhQq9lyBVWSFnAEZNRovmYtFmTv147
f5UVJYQ5YU2Jx18paka8GBz1MVi3WfTq5xl6yZvudwy9pMRAD5UOHZG4sePKtyHK+yIjFXN/9MQe
/UC9+B6aHKbntLwcOrRs5UghCcBV6zKouELVUQqXU+3UcMBe9RczDsJBBXSAgPnKEuVRXJEq0pjX
sMmjxxnC2Y5cTPZcgkpblBmJ+gX8i8xfGqPcKu25AtgldLhk1Vbqt7xqydFuyOxC+wF6mhQF/oh1
i1lI2F7bpBYZ77QWEvekQUzY5NExazGRpd3Gj4lkqp0tF/uAXyWxg9qV3+4nfSUMm7B90CKnVrdR
wMoDLO3giymgSzQcN0mhlOJzGiV4H5LmSxUTrxx9RjWQRFPalZACAp8HNBrB0EKFP6EMCikqYCbW
Om9U8zdBn8/3vXXp6Lg0QYU9I5CQgAde2JLjxmzkbYPDf+ZOQvLs8z//N1OUk6pGq2utgI1RN4IZ
ZueGq9xS2ypcbjUFY+aWF+jPzFE+2jahn6UQ+LYQiCweHAQcEJoy4zm0bIRI9EB8GS0F1ICS0dCj
hsOuSxp0S8ahlQX+tpRyxhItnbkqKIL+MUONpY7Swq9mUg/M92P9pHLNa5MfirR1VQguhyD3YZxP
i9enS4vUbpslOefjFha7fLTCYmX8wuCkw1Sam4iz5snq+tz9C+dARwYQmP+vOfs6ire4h7Yd6X3k
AwDc0LPLaYOTtgdDeGolFhn+4r66MEZ+fpEPKdMgD5DYxKOolJxxiOCNnAX+f8sv3T4QTKF3ZOG5
MM5VjRTJcwcOe9Z7aXmOL76B2ttBPqejUWPAqmoa/vsoP4QJDmRH5nCClY4/1KYuHxvt7f48M+1S
G77UtFAbGtit58SEkiDfnwtQyIluCZUvLs3MUkWhV7YF3Azum17cLhcjprZLnvVcnE+wXHZOykMD
QB29nvWiWV5aopuEixN0ycmd6GJpuWHmCy4gJcWZt5sWaj5S273eH8gCWBCnEeQi/jFCXewHo241
YwRqQDCOkAluxRfD8Gpul8mHPoK0zYshek170IvPlkXLsRgMLkxTV32uSmSuR7rHkgDX6BTenKMn
LgSMreYtFVKAnKYwosHSfQapA+DAAY/UbiASSpnHfDATiET5NPX71jC1yPVLADIkCBO3K71wGNO7
lG2+sEifrr0ups2Uw2Kvea3oqMVpSmbT76H3F7amhNdGU5p8ysKBL/onGH4Bbietu/RjQxIM1OMV
mDX45zyqnYgH8iXoV4zRLXrohRlqA46tkQxqgdqzzn22nVlpO4RwU/criwP/Nvi9a+0RVHd87Ijh
e1CNplJojNORmLi5V1x8ArUTRylM0zgk5e8qs/lQcRP5YZLHU90xjq7lKTWg0SqD2P0m4RXXOiTU
RtT0Cm7XjOfE3+fB+v58Lk/nvyZoWuqgy6ui62CiylEz10p7SP8mNwg1k39GQbfJZ4IPuWAyCgUd
inVS2MG0DZmMFoteD4UDsMyAHF2XqZ3NB0IacTqspEn4hr97Qq2vaq10Yn/e54rkDeo5h4gO3hIF
40BcDCoXpqnzEKKy2Rz1eAmlwnM5hqaR9uYQdevOf5OG96aaGXtgMaRc2CNucxGkq1BQ4qEnE2rM
njSPnjjwTlmIZmb0x6BSPVKXiFLBvu8qrGFSOy8b+1HiiVnR4J45/6NPq9BspcktpHehz5xBLBlJ
hcXHKeRQQEuLGhOqytSidqGcGe2MmY1E6AKL4w9hLveRUHq6DiiX8CMSptUY4DO0CQQPPjSVTYN7
QUOuqTdQp1YH9/4ULO4WKCzwQB9AIYfuoJLHaOpiRUcLeTV6qdg9jCGrpkaCx01w+dcEGGqvF7cv
8cafQ5gAvmRQDngPxomny640/k0UuzBEH/WdomXGCBCur/pW5EPFqA3NMplXecjKOy/GsQtT1IEv
6mkR8WQZ+3bVq2d9eGkF1jm7/K6+MEL5Sq62Mz+1GI+WBUiQSuYA5FGCdgC/teLcaTVHJBmFhlWu
Yxqmtn/ug9U/FEhPMg8NQD8wZ3S5y6se+Kd6NCd1JVWHSvubo+FitFQM0Psi0WMORnPR1jjZ9ANP
a3rG3WVx3b7lHpEUBUyeMiLlaTbqZN3yRF+NEWgZJtXRBMm6v6sWXf7CDBVYKlGd9FiFGUhDmF35
UReg3SMUDbHr+yPD2OLhfWGMOrwh9q4V9QRj1ZSbU3oowQA3BT+bYmaES5YhEk4vorQaCDWenTAU
5ad48MCqZ2qo9EWMSilrjchhcWFGKXEAJDEcgUfXTxZkjyE/uVnVPN5fo2UzoOwEPTgKpDSkFfzJ
YYauaNBbSpAtkCaUBh5HUfgrh/tjhQoUeVLWAeoSoABslZVghE9TFXlxbjAyD4snGagN/xkMFSq6
SEuDTjcQY5FKmUNP9nNHiVYtXuhVYM+shABr7qgAodf+IHcFzAXFIRRBxddDcpcFbWGNidqryH+F
hjpi6jIke+0a0A9A8ebsZ5TqIBvkE+SnqmyQHCmdu6f7vrH8KMZRha4+CBKCUuTaB+WOC9th8MH2
0ToKVPE6pw2BcSoOZbExWhvy0x3ABMHIGjOZuJuz8o/db7jRhe/nwVxNfYIxzwK6mQFV8EfWDWTx
Wnlhgjolp55r01SACQga2xxGUWorFYFWjK1kTKwJcF9IqwcsBSvWyKiNoOUQc0p7uIzCaeux7J7n
OvXur9qiV16MjNoEihp1Dd9g0YxiX2c50DVPGrzzvpHFq+qFEcr1QWehc9OEcSCrb8rcukEUrEXJ
bLBg6ggZ9M3Mre6bZE0dtRHSgc/yToTJ3PeRVE830H15v29iMbRfjIo6sFTJRxlWR8ytAPPN633u
F16n7iPodvyNIQk046KkSOiuvN5YsRoOvixxIHnRhpOQxYEl5mhuHKETocsv920tnsLgkfnHFrVU
ddWkrWrAHzJli7TBKNS21NoS2jrAp3Pf1LJX/DFFLVGTAgaTlzAlSN1OCiYrlh/GDAQMfBd89HW6
Rje7M5S+yJjOZZf/Y5daN5lPoAubYDpFxPgOBH1q8CMYB0aFZzESX0wkdcOQ0IHkS2R0umy36UMp
R0CtQdRRccvacILQvT+Zy874Z1Dkcy6C4Nz1nSFkGFQaOD0qZH3pSc27rLKgoyw7VJAX0qHXKx7D
EoG0Gcnbr4pQlUseuyJmRV0SVW8D+z9jAgPo9Zhyncv8SIctI/wRDWuQcUoJOAs7ax6gnJc8zsbv
kX8q5JYROxYII5Ca/Hft0G57bXjk1FSdMxiOGnBvxr8b3whcfeTNFheSKuG8rHzs+8k0eqiy4MlZ
9r4r9lBUlKCp0GsPo1ydpoxnlbzvuxTYdK8/K281uelTrHEb/2j7raKf2yLcxOmzqr4ntcrYJsvb
E7xhAoTmoD5LRR1JmEqI+eLMq1MexIlWX6B9XWqgELUe858TwFdGyIgIi86loYNNE5DBwVPjeoBj
4otiVCNoI3NpaqHTtG+N9KtSGW/e5dTzhR3yHRebheumOG58DE2r1mW+ziJQVn2m9Srrz5PgCSLO
2q+6+1Gl50n27fsbdXERL2xTcUHWK7FVyZkuVatUBRYdMjso6ne62wU23w3/45RScQEiT0IstDAX
ZL+q6CCXVgUtaIUxqMXT9mJQVFRojFhNSwlW+mReK0r3JXQi47Z+3zdQyb1es5SPjTKPYCKq0MKG
uMYhycud0sq9vz6LpwO4C8BZzUPTQ6R8UDd6sY2zALWPsdhzsrRXM/5ZrbWH+2aWb8sXdigfbMMy
6XwJMUYaXlAdFCQnhtqWACLCwOFrm4O8km+GHc/Y1cu+f2GX8j9x4pqmm2G3Bkqt7quNP0smHo+2
n0OJMAFLrPGzycPPMgYVU4W2ia7ZaRrw1vfHv7icF59B+aXkz7k0tCSWpd2mlMttA5xcNqKRh5sZ
phavNBemKOfMDKUc8PqCVkH2pcBx6hiPu9JthhfQNa7+p2HRjOtJk/i5RN6UQe0GYWTBljH9H2lX
tls5riS/SABFiVpetZzF++5yvwhlV5X2faW+fkLG3LYOrTnE1EU/FNAHcIhkMplkZka4RJeEnptO
BBpZBiSL0f5nCYuo65ORmCOMtOZ7vf2N4qeqzL2YeKx7bkgr2d2bJ8EKTVgruzfTzpywVmT8hzbP
xnBJ7ZcxiFDme1lUO971kj0oAxRWLG0DRS/LZXhF4oTQhlKu1YY6TXmTaz4zfE32HLTpv75GKHbp
sChCsTFFmwRSCg7HS8OcdE/nLWO7+maFIQQVQYsKqmLCoEhG7u14RNNgVg5OmVNQP2TTTT0mt6Rr
PxptRBG4Pj+3wXxUlpRWE9/GjRq5TZMlfplpgVsMyHZBpTt3EjtQJEfGtgf817jE5qAAjK0sqvGh
CZkvFGQxskq/CWtIKp2fERmOEGCA1SWpEhNmhTfFgxaUfm22DgQhJDDbe8VcXkmRfgV9onBwGHqJ
ujUMxzSeB2N22tzrO3BegGptuieGVMV8M2oFAwA4H8AEAM7IU7xwNKcg1WFLWepmJnfK/ipHkneK
niYQyRUHG0XICtpFClnr3aYRr4CX31dRTRjbSlYurWbcrPfKNO5HWQvMptNeIQhnYxblDAc7pnIC
WV0x7yoj8FLzUOoyzplNl/3ZZIoJtHDpPR2KmST2VI4wjSJ6YLUfo6KCIEbS/XiQHUSbVriCEmYt
mOhAimKBqu/RmuEYLXHyMJF4NBmKMHN5GIEjYLlzKvGVjcx/jHLOQtbstek2Ub0MplKwwH8r9I1G
FIOhbQcVFSqezuMrnrglaJu19tbO/CQFT6omOYc2aIl0UJGin22ROAHbrrC5qmxI89QEZFc46TV7
4HfGU3tD74IdCG9/gD0HIcYx/IMQ47zv2NrUK1zxnKVNWiTq55PIfLRAGI3K2OSOhpe96vHk/jzW
ZrfkGkzw3CDySgeEZUsPp+1Awj6EHBDYCx3jLr/I99WlPTsQ6s2e613opdAvDkCscv4TtvbD+gvo
6X5ASlOLDR3mM0+7PrnkHG8kT1bjGerP80Cbaaw1krDzQNRY0DEEEk0u4ZJ73nsauWQMpSPaoTF2
NWhcatnjxXeFVpyLa1RhE1rWENJBwQy3Tnk9I+h8JIkzhQ6e4qPX7jl4uOyWjvbY+xn4oSzXqsmM
SdicdE5jMoDlCmqJ0S54Mu6S19Yz/RgUlXwfYkHvE8/ydLc5sofaU/5By/BxD3ZQWHfltgcc4mAM
B5/qQXtrduReuYxlUfuWazfRwQlqH6ij6yLlbmbwOU1yNAOa000QTy6XHltbDsqEytbS/8BUKC+d
WlhT5F1GOA6PInAYRxFbvg+knQibl481irDODTqh0XsMFDS6EpCsm9k1tF716JfWI7OfKTtb9Wvy
PJP9aO8YJ77Eupd9Ir4orfGFlc4CpSO5CfxMQw1oG+4JCsBYVlYHmhCUYqcX0dDt9Sp1K9wylWQ8
otLob9Jb649YTtnVOa0j04n6SHyEWt6PCoicUaWYF7LE4+YFcw0j3hG6XNHyFFaNK3lj7dr2ah5f
DMVAe/OPNnkm5YHVx3p+OD/FWyHCGlW4KyjVhLLypUtWr5WLdDYvx+yPomavLVd+nUeSWaxw9DQD
KYvCwvhMfsfUZz48dsGf/wpCvBYkfdYXZojB0HR2aUzdQJt3c1Z452FkSyXyNc6WHbF+XCZN3ym4
kSPc6a1jQ28H5o/qr0S9LFWPGPnxPK5kBsVAP4ymQSURYEP2o0HebFDvGX09j7HtW//1K2I0zKyk
rfIKqxSPqFkdajx3KD8sa7xsGH1PrMfWig/nEbd95Rei4GO4nTaZHgCxqa8DgkAbRCGySGsTA8WN
4GMEBfq3iqSitVp08S6G0Uc3pT3iecTWy/7j/Eg25079VBNCnRcT546gAmjMFioNWhseVxxOroOM
e1TRvNq4DZGt++/whJnLw5mnydJin9YPjX4bpLuUXyXWWx7cT0YjieA2jW81OMEVmyROUrKwIfBh
Rv39sUlbJ0olNXmb3mgFIrjaNBxGpLwBEoy1j65vl8Q27t/WLQo9JGYnWyzB3RphkdCUAKpElb+N
khW/m9/59KjRS6WT5JY2544uPG8mKFa+Pc2bXcurLEC4BEF7xscLFewhtYyffDvsXaEI5lDotFJQ
Roka2+votjnMB2Svjvl1BZqOxEHiFhplnnYsXOU635HcgcyoTyXrtyEEhMBw9Q2ClXS9ruhNii0w
fNxqiLtfUNP368cTZSC1qb3BZXsT0vT8FXL0rnYxMzD+6ZJv2Cw/XH+DYER4G53yNsQ89OCz8vLR
ZQ/TZbsHn+B7/RHda35agfqqVv3zu3E7KF6NXbCorKDcaGvggjLTUiDjPV12B/or+AXOFOSWyI46
9TuypLcgNddM/y9YhE/nfrH4VZwS6Hqa2jHw2eO1nSMQD65G1FMnQOaO9dBfBg/0Jpid8P38wDc3
7WrcwsGeGG3FjEU6MQFdGl5pIG2i+K0sCSRB+bwIrUZnpmh7QA03DqbmPQkuWeamyeDMteSGvHzs
t4jzazCfR/8KhrI2ACveMolh7maR+VvDTcZWI4dof+aI4HJF8G4rK5nddEYr1CUOXqFCxbCJBg7U
vvqlBLqXpYcAeqPcejLwbhi3u/Mrtkm0tNoin3H/Ci+sclvpl/dT7tauaeJ2bP7AP+iTNW9YC93E
N/LeueRBuSr23bOeuNm9csX3579C4hU/+RhXH9GBJg8eC3ZTq9gro7ordRdSTH9zbq2mVvBIJYiv
h2ixm7opnMCoXQa5jlQWEsoWUPA5WVMsZQpAIclHq/pt79XRB0t9ntZOIhUg33qyXC+f4GmYMjW5
uXhZZWgdbqKZ+Y6YXjz0Xt96ER7eWLUzuxe0gEp8nGzJBBdD+5pAGwLD7Po9Hhym7DdKqSULJptK
wZ2gNL2EDC4wbOqM848xP+bz3kKtHwQod7MheamR7HexGI3xJu6HZeFyy1d6P4byU4EtmBxnOrjc
vpwUidXLjunP31dmX1mw+bjB4mVHlG/TC0jcVlfdpe1nTnzd7hKn1dwHvnvO9sPF6DDINp/fdpux
8NeG+PQNK3x0HwTIZWLEStr5oWniKVDiXhbz++5DGbVB3g/iQZGYZ+gVpukUoZVVvvTR0bQvu/ol
ynxTkwxFBiREPGxS6jJfOJcqvqsj0CFdoHUzG73+r8poQMjw75AEL2IMYx5N6BZ2SfmBZnNEphly
raWsg3d7bSwTGULwEqPx7PQc4IlG1MxYuIZQ4ppbKYqRjudXf3t3fSEIO5iTiM6WAeub1cThcY3T
pXQDU78aSsXJQua1oyk5Uj9f/7/bwxemsKOtJV1XL+x1cVG/ptTEFS8roPNpZ/nBbCsdB2yYUwau
1ZS/xb2eo7cYbfZGZiogGY8V7Z32c/vRT2ioanRruiLjVP2jd1H2gO5KHWRWoB9yUAkQH/K5ReVq
hVayuu+sPygrDF56Tvg7tCsht1VPoHZNNcV2eYd6hNQIw0PYmcEu75iGqK2y02tzCIdrk/PwiF44
kGJ23XXbxWwRu9Enr7a1+GOwOFSmUpsdZrPVf0ekTqC9keZ4G1KYn2jTI6nMfJ/W7FGbFPuglxR8
jkp8V9qxIlnQ7ccIGMz/2oxIL8OD2URpAGYXhBcKiv2n2cmTHsfcjxrSiMrVXD4jd2YPMgLt7bPg
C1d4ZS94pFIUkS0vkDM4URQnyAw3/bvj+wtFiIwUMytAsYQdUYPmjPVuMOyi4Pf5PbE9hRrY2wjk
EhYGndNtF9a2nhYcIH3yGM57Mj7PbJ8i6EN/Rh7vlPa9WSra/uagW6EKMYO+KDk3E1CD9mdcv8Rq
Ajq8S2U4auljymRPIJvLtUITXEtmxgyc10BTlLdY+9DRbTWb/n85kaJ3mcokDGyAJNV90N9S+2Yi
pdOXFzzyWrzMF6U7IudSyVLgmweBZi+chqADAc3Y6QJWkZ1lcweKLLMJ9vM0uXkc3fRjeNOY/KfZ
5n9zwK3ghJUDRaPZ9BRcNqH6ptcOV2LH1Bw9vZqkM7pVyY72439HJiyb0Yy2pSgYmZ3Qo6EkTmQd
KvtNQUyumpdphJ5g3cfGO7+QW1ERHrAWAVTQRZNPUbhVjFCDQFApFs47PuVO02Y7XqTuWPbgBSr2
UZgceN6i0Zy8nofdWkZr0eRGQSFIncQSxgJ6RpC6g3x80OKANe8HlqRwyi0ufPY1QZL0PNzWlljD
CeFDEJlMIRPgUnI/Zq3fWs9JJ3OTWwfuGkQwTbOx7LkcABKWvyFnEafekIFiAewK5SUNDElEpC7+
UDxr0eqD5K6hLsoCAlyczWM12eAbMdLIyYKfo+WgftnTAlARPfU481qoi6Fp2OadE6jvfzGhINde
0METID6AZopeJVaJZnKT/oKfdeP5tZNd0Dfnc4UhLFqdM61JF86MNKJoldmPIVrpEkTtb7T/pcvo
pDZNxAK9JGoadAMlrqeOxdLSMmQjdnqh4REnAsXQ+8RKyR1kK+rDw/R/QMQTPB1Bv6ssNIJ12b5E
BdsVqDj/m5X5ghAOa6OalaJXMI62iv0Ir1M171xj+HUeZXP/2oSqUJQDKaJofLbW2XGcYG0G9aVL
XWokMAHkYkEibQ6ZxNQ3DWEFJjhhvMvMtEwBZg+PgXGnWuiCZ+9oWvWYeYy6v2jYgxe2UWUOyRAI
5JwaQtAXlRmoi3AArfah2TjJxPwilWyg5ZvF3btGWXb3yu+CJpWVrMUGKu2bAKUJhrlP6V2SSWC2
3PsaRkge9+M0c31htwjn4pB1+r4dUGapWbsqpU4PDudiuiWqjCFtay+tUYWda6dBaI/9gkrf7P4P
7S6o/XTeAGXzJ3o/qLy0VAVE3014PrOR56ks+jYV4HhSH85jbQ5naa/VrYW/gAgnc2FmeTfo4JMY
YQlEtS5Gnb014NU9D7M5JKQ6Pt0PeA4FmKorE672gGG4uqGQy77rK/2PFpZ7VN/uz2Nt7F/wmNLF
xhELQif61PyaJNZrlBSjf8063FIoLo3DjRbLyOuWdRaM/ARF2LgF10twIbRofWkO1dw5jeyI2DBv
AED+jIAwnEJh53QY3OAxTwMAsLT1cvQxzqoOGtOnuYEuY6B8RG3utFYgSfJs+CNw3FIbhWEgdCIi
MZYdRIYWNh3ay0x4cBI4k6Hfm1XkJMVVd1UxWZnThmGc4C3fs/IVPERZCOojUKI27MA6kLTlIcuP
c5tKxvX5DvttvVYDE87AIjKMrI0ApKL7Qj8y6nbGPm391H4xxx2tC/T2HKZkz+be6XoLAamsInxj
q62HKtKdIEhjY0XxBZxfZyimotYhLQ7nbX+rkuoERPDw+dJbPC/rlyrcDyaUuSS2E0/tVWvjQcJM
UFsVOZE6PpYIvySb/P8AR48vKNUoQ/H76WKi8GLmI+3RXYDLNEO7pWLtsvi10B9bpXQC8wgtKQfy
k+fHvLlRULD5H1TBtyhVRkdiDuir6Xdq6BXURaC6I/U+LJ0qRzpZxqm/vZBfgILNosOuyJUZw2za
a/S12JNbT5JganMqUXMFYkwDurbfaq+4bgZVWI0wVxJ3N5MdTR6pOcTtVQ1qajY6WsG736MZCpkx
ps8GeL9KGTfC1jjVRYKegRTTQDh0upy50XElHWe0FSDUDkKK1sWbqPx5fvW2vPUaRLAZJUN52Dzw
pRI2dKf0R0b3BIJdpjs2knNhq8FOXUMJhtIRkLYFGcZjTD7q+6fqPmavUfU4dXsb/eFj5WfpdZS9
a2Q/94cxc1FAGscelRG5bfm89XcI9tPFFrGghwifB7aQSnspCPfw5oCq+kmyNTZXEKoaixY06mXF
q0yKtBGK6ilGrDEQve84Vdyq3J1fwa1yXFSlfKEIIVFkV1GmZ0BJWO6prTfxd4tcDOQyqvcBuxxM
SDHRqzi9Vk136t9Y+ieY31tZOecya6KDX3+FYK28ImTsevQLa7FvopZwLN2+Zk4XmaBTxrtlJ3ld
2Jxb6PuCdQBqL2ivOd0dhmUGmWICb57tystahvyOSX+yjsleD7WtWANas2zRml1UbgWoLKmjtIow
wQxCkrU/ecxBxsxNIQmdOkjyQF18hJZ9nzjZn+bAd/FV8vob2uq39Cb21D0Os9cMqvfkICN33Z6D
fz9MLIjGu07dTyM+rLYe0yBytPmYapI7y5aDQC8oFJSJudzGhHWdtZFnWaGhN7x5qQl8RAKyjAs2
+yqV9YZszfMaSvBFMYeU5axhOF3rE+QtUrAFnN8rMgTBBeV1l43pDIQSmiitWjupLJu0eXKsByF4
l2Sa8lgfABEnRxBiRLo/5j8jckggOq1cBO2VKmNz2rIC6BN8ij4bFl5tTncC5OZznqiLFeg7Yvk1
mg1kEJ8ZTHF3UxARLAIFCInFBslAj3BzSGAFEHK9aHft3ra99iPev3Kv30EJ2AvcABQcTm46qI32
ZaXwWy57DS9YhlLmLOPLEGNQjRL4aUTGpn4Rz5JzfxMHsT5kH1RLg72fTqVljCjmijFMPt3Ghqcn
70Z5y+jjeSvcXLAViuCwCVXGhcsVDhuseIZyMEJUlMva6bbKrhGSgTrChPoQg2je6VhGmvXmUOLN
0LbyG4XsG/RZWi9B+NLPjsbKy9S+y4GvWzs0itiynbYFTyEtY+EdD1coMNOewmfcCCO15KhjXNR6
Rm8y783olU0ftHhSaieaPVT3WNgU2i2V8XJtbPPl+chCVTve8lUm7IjWxP0T6pyoBiXKL6uqvbBl
MoKsLYyFNB3KeLjr4sJ2Or4+HdqO2wbe26qhclTOdhDQuT9vKBtnKqXLix5CB7yE2sI4yKgaaTNA
uJlFFuhK/RncFY31p4/9FiLVsbU7D7dh/SdwgusyItAXxItOtDKCfkuxrjVlQisPYno2Hc5DfR5N
gkOBgCWCS0ODVjKePk6nLwK1exPYKMQfL0o0YIwuCFscBtkvr78o90OCTpvSf0e9n8MeBhcsf5AX
DL2P3EuvNJc4Jpouzn/R1lyvPkg8SxU708dZxwfNPaq+f3Mz8uCyI7C8DOF11fC/uBBjAnSUA6C9
FLpgwvYcQoYOugJ46iIBDtVe3cOoP9of0cFOnbcxd0rTSbl7fpSfGpXf5/0LVvA9tBnwPAm6F/cl
98FtEYKIdg95JSc46nfx1Xywd8Nl5kyO7dv/IHWZOz/t48/2AGo7zQl37fsNyNK6HXcD//yHbUWx
mA8T1BO4umrQDT81iLCLQZwd4MOCZ2VXXYVe9wEqS8sLrkJfBffS0lXm5se/YFs6gaWnsEGYKeq8
MAKHLYQstcGxXs8PbKua9QRBWGiNjGyoTSBMH4OnHdDOeFPeJD/a59gNHhnegJ3wUf9RIZxEOYJ3
Efmp8+e//ARh0fMqZWEWQikagq0OGLre1SvdK5/v8uuPt+qa7cfXwMVKK57lMI9fyuirt6qVTqZA
iCFtGobI82AKlMP1dJv/sVz0oRgH6/jxo9yj6SsoHOUf/dF6tPfmPXd+nR/+1sXzBH7xe6tHrqlB
HZEeY/js9tZyjf3wrnoTSmvDewguVlBm1lywNcqIbDZOech9obcKVSE4jUQPZ0OxqsrnFFzTgd9W
O0ZjvI5n7mR4SNKQ7loJL1BSQRLXQpHkP3HkT7JEwOYZrJk68mgUuhNIxJ4OnFdmZZgQgnHnDpdr
rXNSojtwyujT2WvasbRvrdYJQdKeFzezdVPJ7r9bBwoqanWMn2loZRP2tDJB2UrvgT+ySyvxwuRY
2CHeg1/OL7AMRtjDo4Gm7JZgfQM02s51eYWO8A+liR7UTqYrsaV0SjVLtwww5JiowheGFIFHW2WL
LYG/3O28aB/cW352nJ6sJ3WvHYbL6UG5Lv48sl+IOnY4SnYtdKAnt32V7aptj7n6FGHYTdKCDULB
7KbQA/YG3IFxNU12uVujjdKd0M3pDHuymy/M4/n53rrjLDGPikIykATh8eLUriaODiJVTzAJHSTL
zGmvUNvtIKg6Tjn6OmJ+iwfWn+hf9Wkr47bZirvwNK7DrnAT/5bKABOSVtcc24qG6PT5PQQP5we3
tW0NiCOCecoguEyJMRdnNjg2MKs04nxywqo0w92khhnUy/Kw9s+jLX9NPI7XaELIlYR1y+sJaFnX
HQu02nat5nNrcNMYnBTR23m0zbnD0FAVSMAgImabWhMyXv1YdnA5MUrY2quJZJIb1NZDPzSiQRmL
CqjPF9RT2wiTkkMttOrcsuQOFKicGbKndmP5aVBeDkVxEYyQqNDjg9noztz2bqlC77bRXMrYxfnh
0i3HgBpIUO/DBYFwUDh66ZCH2tA3HbhELL+aOle3g8ucZ/spmA5qRndFke3M8VEtDTcn2j7r+RFE
4U5tQRWAJVeQ7HMj6EH2YGjqg3+S4meKpBbrK7DiZtc8tkaQOmRIsJqSMG1zh4G9AvGxxnScIMIO
S3UaKSHBl6v1D3O8Um2Hdm8VpDCjO1Y5U3FpEKnA9uIvRFtcYy6zuTomjYA1hLTADNvUiZGdLjTF
DUc/15QdKW8n+1rNMsfuUVGz6//i+ZCuwYVtF2UBnRIO8H5Unrs2uTCsp1bt/ARtkVNQOzp/P28c
m1HBGlHceoXF2qlbhgtVLwtvQVHxluLh0tA9IzScsfY0aJiA3lMDf1bbORnZQ8KlyH6P/NK0f0u+
ZjHFc5Mv3IeQP8lCMuFroATq2dPVZ2Up8+jkz0Hqm8FdXfwgSg6yptc6+61YjxL8jRIxauKRz4BD
15G0FbYKS9WmjmiP+adPDaIhPXrBLZ3SI4NStrmzU9THyHK4W1euNaYQluqxqlaTPnRumz1Gw86K
L7gCSRdtB91IpwwlnmnD1dqWias0EnQqsmvClmImiQqToBwtbzOnU+zHurGg7Qld1PifoZIlPJf1
EtbzBE3YTE2gNkYYLyV3RQijuc5Bth6YXmk8pGPrpO21rklO5W1EvHFDyGypQhXGh1ItvUhbxJZm
nEHNC09y+muClvs+1x7H/g9aB0HUJqtf2HL3Nq5suMajrgVlfoLdJHoydAZDTRBkKVt2Q0G8Tmnh
6I1PxiPNfGXOXF1B3eZP1peQgDjW2uG86W4caidfIFhRxEdNCW3MtGaWP4q2qo52RxvJUbJpPKth
CpOrx6MSlksJVzyExzCMXYPdN0bsIpO06/S/KOrFkJD2Q5sxDi5ddAZJZ+bTjKW0Y+KbdHat+FWN
46eutHY8gdWqlcR4lu//Zq5fiEwg2kPYpiZDv1SPobawotkhaEM3leqBbK8V6nfQ34yr0adPXh0x
iqFbY5mgsFDBlcyplPkfItNK23AqmLsvCMGtB1SrRrrUwZGkOOBhFFzDu6XsoAi9CdxsVPlx3vw2
LcOmUPixQTMF13l6ampTjAKyRWlOKZxB0XZtcNvEeytztYJ756G2N9sKSzD1obAhAjUCy5xLcse7
6tqOjft+tvfVgEpNjSqPVI/Bp4UXZWdqM34HiXTNr1l00Wd5cttZef4s+aZlfN8sZ/VNws6wh2oc
7BjfFOTJC1RA/8lJdZNl6UcwvuRIAKagYh6VYM/SxJl1ULsF4Qc1IEd9/js2Qj3bWn2G4G/LkvWJ
tZSsQuBtsNmFCmG5YHoxZdrp2zgMpTlQ5jEtsS1pbosSeSrgxKFrkb0ZpscSfVfS6vCt8AQD+gIS
1lpnwxRrPeZ1sD5I1O8N3uFJNDCfw6g4aNmbYUOqEWwqGu+8vH1t6XDXM/sVmlOOWqQ3CUeLqS0j
j9jcXKuPEha7RAJ/IhE+ijCHmlc64sTW2ucm+g7QqTJxyaJueqUVnLCoiqL0SkMx2T3H23fnTYNX
op7mbywHq7log0ECVIg8RwL5zylBuV9duVBB2oEz3GEovkpVyRmyPXlfQIJnKhMjGHgC7by0+KWz
+c6M70EAywqv5x9aMEo8+rahfqEJZ0gzRm2MUlNsCE3DzdUhdrtX1ObGJhKvtPyh7w7gXyDx6Chz
UPCxHCW0UfzW4tU8I17e5eC8fq0jz7TSS5DSnV+xreZ8HI2IVy2EHhAcE5YsDVC5+FmIPOfTYYLQ
l4pyhgKczJle3qQgilSMamexX33/hxW/KdpncROEuKvtGX0u+ZgtG11/i7CqM6N1WuQ4b9oxKZwG
9QPeWGuRp8dRejg/7q0lXUMJS1qxMrMSHVDpGB6zQQXdW3+EqDsIwmTk/ZJRiR2tvK8mOqG1yGWq
cl3WePHX6MEwJfmtzQNtNSKxjRVWk5VmAJhAyfZ9rL8qJSq+WecrIai/OuqmKirZRmO/iBXxIfHN
GHlDXXfiUaZht7U74dWh1QeGDTyVCg97Fhl7pWYw4zYc3QzCjkZnuq3NrsbuPVanxxGykxLPs5ip
uHNArIjKCgsvad+EVUZEKU20SK1qXHu2G0gItGWSAbSovVqj3AtDmZDX9rp+QdLTaCWoAvRWLfK7
plWbbqjMlt/EI7RQByZLcC0T9m10qoH8lomNSsSTMldHJTY1TCi4oa7j8JcNzl9K+j2BxlSS/jFZ
gigQkoi0P5ZkkHi/5XT8Bo5nX8NA0fPy+Hw6TktNNG2sAV7xZBcn7CEdZskD/+ZUriCEjU+TKSHl
DAfbG+kOZf0HkmVeGcm65beegsAn+jUUYddrBVYpWxx5kl1p0fMYRSgKvm+pl9YXRgRWBfJDQVfc
X7gaDW/2FBpsyzXkdP6K2s7ttsWhaPS46+TBrkj6vQmdOcWKJAVGm15tBSWYZM8MtMnqgIosw58Q
QyR8RNbZvoVk9935UW3uceRkNJzzKFEXWzRT6MYi74qpVDIX0Sp61gtwHyCmavJ3ZoV/NYdfaEL0
0oRpq2dLYBGo14aFFGZytKPYSWXPnJtuZDUqwdYhiUjMjGNUPMz3UwT+lOqPTdqLKXodIIl7fgq3
V+trUILVl1FZ02zpzlI6MLTa16n53gXjbSsz+62owl4NSrB6WsRdSiFT4w48tr06DFIko7v7zhx/
hHS86fkYuyH6Ty4zI9FlK7cJjtoOpM5sfekGPbX+AaVIRM0BzkDloFTeNH0o7dHOY6dsH7Pqj5Qp
dnNWvwBF5fsq1NBwVwOwVPdj/bPvPDt9zYmsV3GLjtq2VzjCtkYWtg5IC1K2zsMWCP34EHg9SnEd
3WH7n8o199rb2c+98FG5MvzzlrPpL1fYwj4f7CHhZrlgQ/GdZcnOpPYx12SH6nZwuMIRLuQzgyBl
0QMn/an7xgX1dctnD5XPd8VDDWpRHHZ7kJtKouCtbNzJ1Ar3tXDEZc6qFtiX0s8iTzkEvn49vui/
831x4Bn0otzmD6S4mMSpbc7rp1KmjjLgb4VWaDaLyyAAsEWvbRUNmbXHzUY2vGV1vh2oKxRh9RTa
xZq6WE7S7Fl7y6Dck6NIfG496BZUYemHfF/jboYDyR6ezlvO5u5YYQsrWuTmEFcKsMNOv+QZQEh9
BQKUfRMbh/NQm750BSWsIiglwE8eAqpQxr0CzhjKE4inoWDByFBxyJ7Pw8nWbvl99R42VUHVZwXg
VPutUu/LpW5a5sxks7f8vsJgGR6N8EiK2WtiHA33eXcIzQvrL9prUKCGxB/RUM+FlNcpTNtpXWSl
BKdQcZkpXlN9RFJSto0kBRpNGPJhKGjEfwJG3Q1VblFEdax7Va3+Yhyrxhvnt1lpr9GI7g9z9aNQ
n9KifDy/TpuBwwpYOPXitsDfXAKHGA98du2WMxxJFzgj6qKMBELDBvuLbMV6qMIRlDMr5oa1hCoE
ja8TNXfgZJyC4V6tl1oxIuG7W+z62/b+GqB4AEUFiaJhiVWSDi0Kffhz4GjEOj+JMgzh8CmgZGCD
zhiEp1g13AwCh3AiezLatPbVQAQ/xbOO6X0LkL6vQGZFmBtQy59NFeFXKQuGtgpsYJBL1zWq+FDs
Kuzfuq1VTjmmrU4O5byPy7skeEONtx4+dRoeIPkrZcc+uauiYytL5m8RjpyACxt7HLuyiJdWWD3z
U3ap0+vQeGWgVZicDAm1+kpljjVITpvN0Ah81KpOCUVkKYx4riuzLWOAFkr+OkXobkhib6TUr5ju
tK0BkcTEJbmyO28724Nd4QqDndrImowl7pxR4sNjpGmN0Aks7k/lC7g5XJW/FBAJK60XlspeuKTg
gt/p20wzwQmE0CUdULtwXRY3JvuAnpQXmxe9ua8DL2wOgex5ZNOWV2MWvI4SzqENamr4AOq3iXVf
94bDgnqnmi/nZ3fzGFoBCc6GMDI2XQSgyIyOHJdJSyl2C7nLeRjJeD5vuquTKOlYMlVsgZnswKnH
6TXSZkdBdl/te8k9RbZmn7+vwKJUR16/BlhC/6iVP2luEB4DpPPrhbhp3JF+N7VgP5Ypj2wHgujo
ZugbNkDUKri5Ms9BBhUilu+a0QnBmJROIToJlL2l5Y7WlAeacfz/5qiTxNcx0cpsPmZogMvsF679
rvL+eH7a/4+p+PoiwSdWDdoleYPu76G6B/vEONwOGfr9ogsGqn1T2yvIlRidb4eSYGqryBtSHl/A
QuDWQkOGFRamYq7fmlDbdwZ1psm4NbiODhzTr5TQUZP7LucXgzUhY0eOLMqPGnnUsujCZsFTbbyP
1lvRUpf0FGYSXQwmEkkjjfZdqf5us8YPw9SpS5U4Q4vcx8IYMtYy4a7NsHA1ECEspIadMs4wkGy4
G7pjmHzUKBPSiRdOXLJa2w72a84EB9sE1WAHy92zptDifGyDaU+qe7W71XGnUEykXZ7Om8f25v8C
FDxr2JDM0EdYR6UHoB+yDy1R0aI5+edhpFYoOtECHbLDsOyL/BbqHbUFMpvcCQmKv45p6uZ974EU
elSl2YLFyk5jGwZ9YgZSLrSx4W1XmNHKRjUfJQiAq/iqDeJ9oF8YsHhcX/rkPcWz1pS4Q3E15V7T
Dw7SlpKBf59g4KtLqyLKJYkpJpgUY9BaJKURgNegzWnxvrVLyaUeUy+oLS9n3DXLu4ZAcrFw5/aB
gek7i24J//8zKp5+h3CcULT591GN74i6udrhcWUE/wjYaPWiuQ3KJHbASMV35we/OXaIbeOtjjAE
DYIHGGeahinTEI7ZN5l+COunVEZZvXz2t+VFGazFdNywiSiLNswt0qAcjTiBUSFHAHkHBgkTS0dT
TkQ9O7hq0dciOcm2hvU/pH3ZbuRIku2vNOqdPVydzoupeSAZjAjFpi0lpV4IpaR07s59+/p7mNNT
FeHiBKeqUUABCWXK6Ju5uZmdc9B+qk0q4kjfi71EkmpiQ+kYVj8cCShh08Fj/ef1qfsaLuMGObMh
nMueWAx98zoeVIFDJWybxf6rpVEIJzIcisTvp8VJA6dFjn44FsnL9UFMHykuzvkghD3XIDNgSRJM
mNlJMhuQSa0I29fVX84hX86VEMB0WA9lOmZOXxy0/oMD0JDeUW2hpDG/ImgyQJYF1ABEsJIOpGND
ghVp1M6umRfXC0s+P1t/GBApKvxwoIMcw0A+PJTlVFcP/Ae19Rd279crBrMFuXYQpFGwe4k9W8yE
rJA1zZbfMhBWot0djnfMfeODRE32zAwp/oBYYv04+hHE3Ksk9hdeEbMD/YV+UmQNqCthJrNI72Su
Y6AqCwAT36ayXZmxnS4Rlc7ucAMGII6FlIEpxGK9WaRDBXpNAOheaQtwjw9CH3J3fY9/DQ4wnWdG
hPCKBKZU1JMRPVnT8HbsHpL2CZeO3TTVwsrN7sAzU4I75cxXklGHKervCWCbWZM61wczuzfOLExf
cBY2owuX5FILC53+koabHiqEw1HJv1Vko0cvvFsoos05bwWIYvhvnKgvDAl1X5UQ6rMQWPHHTANj
CSDfZfAR5O+6+Rpm2+uDm52+M2vi4AA47BD+o6o1bIrkh5QvJG1mJw9ovolFFWbE/FSsxaxjrYTt
1j7XbK/JxzhHaG19N/WXCCzp3fv18cxu70mmGRk30OWJj/GslYeUjqx2olaHkKJiV3mEdu2lwGHJ
jHATlWZqpV0OM4mx1S0gATU4haUrVZ1dnLPBCLfRGBGVDtNgSo8fwVyxZa8GsysDoL9V8mQ4mUOO
u/FDezDd7oUCDhg55R6MsdendKYlAafZ0unEAoqQUcQhaoU2onsuBFYgcdWb3g1fyXdA3De+ne5j
CDiurEcpXzA6P/Q/bQoehEqtHhQWgLeIUEn7qP71bo7LMQluo6ylSIl8/P5A25f5hljfrCU6+fk9
8ucQhKOVhlYn6RQmCD1KxpbR2F7kUZy9NSyKy5xoUw5YuDVaGo4Qj4GNtJhIcd6QcZp4W6q/joM2
AJiDWwL9F5nuyUsfKMdNj4tvQu61BC59jNuHxKcBMCC0UX/0ccD/OmD90qKwAcZCYxJLAajKuuc2
v5Gtb9d39dzMnY9I2ABjrORpq+L3K9Umb392GnTch3WbLqV4565CFc8c2AIvy5fuyEFRIqCq4ADl
3lW6wDbUTStvaVch8NtcH9Lchjs3JWw4Kcgg+FTAXeQa0jhj7GrBc0FD99+zMn3F2XUotaRmUQ0r
YNRJldZBWZaAS+vvGAG3CplIfNAvc2lkbFSL1NY0FAi9QEpDBzlasAR0nt0CgOr9jxEhEi8ZmnFY
ACMhEEujFroEgNQ4ViA3/nh9OLOWTMCtgPOSCfhOL4ej5sjqRQqOj6lPupinqN/48qpdEq6aaYxB
6Ir4dSL6hfDpr+T82dr08RCqIfKyTmvqTmGYTxEkaXVtLG0g3G0otjlDCmyzzzxSLXV9T7tLfNec
2xZ2Hx1qjXcopTtqNjqNUd6OlrLw2pgLJsD8QHElIpdoigRHLBiDDPtlautguG+brHX1Cjy1UWOh
c4qDn7Qu/dhVaQmGt65ZKAjNHS9cgdgwIH3R4XAvF7E1Vd8cQ4RKJgRyKAPldk73Pq3/xkNAw0tq
wueBA0Gkxm0SydIRciIi81cq0GWs5W4NVi6r8K5vytnx/GlIpMctBt4FOYEhTa4g+KuUfv2QpXkn
4zEHFcyFEz2/N8/MCVcIUpF8SDnCaBL2NpRG7SSSN7RHhJuYEHMJM6e20B3bn5p8XHokzMXUSLgA
PoKEC8i3haXTMsVX+pDieYd8k27d53kAbsdiH8SqqysfNWh6rs/tnNdH7wEQQDKec7KIHTOtptfr
bPL6Rlfach0wiAuG2UYtQDvbokpUvPx7BsXTR0ms1SUMWglHUvgnI7IdcQSJZmsbev983drcWQcC
E0qs0F0DnYwQdqA5r+i0Bo9VvQdfKiWoGyzph8/OIHhA0JNmIvYUz7o5ypGWTrtTUXs3I6vBiO0S
sHxQ7NcP10fzK0oSXRcwwCjdIU4Hr6CwNWW8EZKkqhEMbq1N/aIeNLDf2f1Ld4wdcIip73TbeeOR
2N+yAzkNt8PpO3pvN9bGBAUIYL2r698zN7vnnyOEPkU3ymOQ43OmRex9jqLw03ULM/QTBtpP/xyx
cCBCnmoq1JRrR/OMo38A5cRt7Zob85jeNN8lt73JD8SGUg5Gme6zVb0UqsxdiOf2he1aq1WBhjLY
18HJmSR7Gh59LrkcpYrrI50hbp9GSqH5gnL0tL6XXjtK0MpZdUBU4pi+SLgB4yFzSQ+mLOKvkxRv
+KaGjB9QZQCRoifElXmz1Do66/tMNOWDNRfMfCi4XH5E4itjoVd4QUVxc+Mb4TYl1I7KxmtUMCEk
zG6H2ygAVWHwcX34cz7+3LAQ4qAYX+A9B8M9y+wm3GRAsNb99rqRucU04VwVgvQvygrCFMu5VcaE
IJSWzPXog71kTckPY1zwcDOdBdOdD6oJZOggAS1Sd8RNp+sNGHEchd0SCNECVe+EcbJplWrbxvUm
NIYHkn8HbNcZWQaYuHKjZsECYmV2rBaiUnTLgsNLTHhKkqpKaD4Gf0edOOjOjTiz03IF6cHrczp3
Y5l/2hHznn0mVxQdNtgxWXSvhdGqUPLX0ZfdVmV2XnwM4VK73lxwRXEIZB0wEjQ4Cz5dH1PgJ3qw
FPihBsUUbUw3JUdyMOr9W03jh75rA0flku+oirok0DTn7dEQP4liTIlD8YKGHEYVlQNoGDTjR9Td
tunn2Dl95fV/HUc6QQs0SGiZ6ALWxDQrYAsSi1U4HkKf82obRd+r8D3Ovzfy+xJtxkx5D7Z0cN0Y
aA7GE0VwslGXNQOuf8woUspN6w2oaXWeEpwUw6OKR1UoJ6nP6lK+cjZfc25XcK59DCUmGVxsjqx7
H71zJ22q0qOv99ITLVdhtSqfFrzM7OoZ4LeY8J74T3BvZExQjZmQ8jQBMNfY67KtKW9y9C1YYl2c
O370zJLgzxKj4zScLOH9Y0PILpffutjRlzjHZ33NuR3hMLDe1Ho62clqdMoqm9ZO7OxGu6uRfnOL
28J3jMfrB35hZL+ukLOnm99F/5rDcMLiAzHLn3kMoan0/rqdGRQldiVSEVDzAcecKmbzxsrkYGbu
cfWuiaNslEePO5AKoyfllT2MTrQubkHm0dnj9+uG566ic7tCVFNPovOcdtiV1Q/WbkEhxyzvugl1
+h1iIHduQzhxrZxoPJZgo/US1VafoCHu9lu6rVz/gT8qnZs5GqjyDJe9Jc4O+APn76R7zr9AOHtJ
ZEqalGB2R1W9jUfZA+GVQ9DQMdLbtii3CwNemlTh6h0Msx5IjwGbD2TNV8q7BLlqyI6yI2AVQ+cq
buKGa+SbGnscbP2FrccbgGffgyfqLSWG/pfZnwJ2UGwCqS/Mfh2ajIwBnLi8Njy+9tfb1CGKbXrK
sXAqkLqtdLfaa5/KFljnbB2tyTfyN97oIKL64xOE6e9HH8KTBq7NJrpB96tKtnSJtHv2oEJHCW5d
1iHDKDi7tNKVQubTKPOPpvxp6S3kch5I+/P60s761DMzgqeL+yJHTzfMoLm7an+AOsLnB672UD9f
DE/nbYEV1AJ+G6xAwi6Kx7gfAx+2GOQGkgaVToJGm7eaGQ7p0DRAOgeJCrwr48+ahK45tAfLqNyx
1A9SRD0pue1ZvOAPZ2Nm7KQ/PmpahzOHqFep77dygUsFos4NdBGk1LGG7QCxbfIyFhsqH7WlPN20
Pb74D1BBaejlxGSIzatyaQ1cU3FzplS+i1PygPP8NwI7QHT/MCEMSwtiqR8KBAVqpq3KyOmUtRwD
UcO2g3QTZEv+aNZBnJkTdmvVWLUUTAxGGjIuXQs8d4JEIMTV/sZuPTMj7NaO5Erf+Jg4EisbVnk8
kl1kRxypd/MlIOPskJDEgZdBpGn94vM82xgMcWjU5tgYSgUq1ILYer36OwJxUDlAZh6kYLqKuFiY
OJKVSY2oFLU35WeguRUycZruhb4jgTc3jZyAgNVlc30W57afpUzlHODxlC99kubYk4IaWKw8BQdj
qR2TrlxwkHPe69yEcAtLBch1ixDDkkKkTINTEtkZqJ20/Nv1ocy5lHM7wl0QFuDrgsIcAig0MdDq
lFWrsc/sgK/qJaXOJVOCzy9UrsSVDlOxmrlgBc5LFTBep6z3Sfh+fVSzFdnzYQmessxiAkZgPB+k
TTPYtWrTQ73VV5ajnvId5BHdxI4dZTWub+gpuP8WOd+Yu/RQm86S6KTOv0HwIGnZdI1cTzuzyVZp
tupG7nWNZRvKTmJoiPy4Pua543ZuTjgIBUg3Bk5hDmzrj9LEvAPmUDBDdEuuanZrghgUeSEFh0BM
kihdMWpSg5hbL7xR2+f6gbK3cWm3zM7emRXBU1lWmKRqg3xQmK472m4kCQK5/q6v0lVOb9ki5/j0
UviyWmf2hJdEVgAe4LcYFbj/6E8T2YIXzZXvtGcokbLWzpkjPQ2uvFGPhVd7/oE9/I3lQ9rLnNqK
wDEk7NhWg6p5MGC8EqoWMWiaQt0hS3J+s47rzIiwJdlAAunXpPo8dGX1OQRP8fVhzObxIHBDTKBP
p9Y1waGMMfRJen96kUmngt9mDO3T6FN9D/WPsj0RsOPlByatY/nxuuHZ7X9mV/AuvqqMcTCd+Gpk
kBJBAddERLT0KpvdJWdWhFWSyjZtRyRknSI76vxTH/Zqk9rQQ2J5Bmq0ZMXJ6/VxzZ62M4vCkvU8
L6wsn/ZFdWNF38P2wKrvxtJdPWMFrKHoS0CrKxjvxTpIK+fyWKuwkvuSE5mal3TcjumpVcKFp9AM
yBUmzkwJC8ViiC6ZGZ5CPdjDH5TWHjfhYVxLB/22LO10y5xhZ31XFqp1M+5kElwBzg+1/Ymb7DJK
zSup0ViHpCSYpyjKSFDIHpvA1pVJkXcFhd7rqzazGy/MCYOstS4xuxjmcnWfSvdKtFGk++smlKUh
CXsR3W4dLaY8a2ncd0DalG7aHprEBVMpcoMrpf1Z615JdzK9K9udkd1W4alibgPHFizM7tyTEuMF
nAzlUIAbxdSyUsmGNHYonOcuO2onyEs98DfduQ/37b7eBPeNl0IgexPvM1RnboJv1ZKy1kxwcfEB
wjHJfIh5GTE+oPc9v/fywA2s7611zIOlSsXiWIWLtizkMAkNmNKYC/Ac+KSYrX8E3me8f4+86Jkr
brhlt5Bu3zd2+Jiv35aSo0uDFe5GSjnaQy2sfJO6ne7qrLLLdBWyVy16ur7JliwJt2Ji8qHOCMaq
D07r74rkZkjuq+HBD5cujulECPfv+QKKME40Emh6VMJSqULk/rWOFwLquSyvAjVnHU8FgyJ2F4ZS
6bnq65NKAgRSDP8ENEOfeIXmjdlu6F0MDj0mzqgbCxeiPnNMwaGOQwEmXwXtvELRMmBVlSeoMoNx
WnNL+DfIc6P0EtUgxu1WCfXtKHaYRTZpvmPtQQp2YIUajB3Rjp3xQrq7MAttdQBDNVvHvhvxdoW6
eyfv4tHruGuOePlo9qBvI+rvGh/MxbRftWg+RF3bqfqnFrwudf2mNlMVzTGhHpTHu6E8mbXs9QHq
0GhdgJLwkgec2TkquNMVMNshFFDFGwUJGc6l0UAcAA/IoL4Dwo3YsVC+M5YQ/nMzfG5KcLa8g5Zr
ok6mwj2kb6rA0brIDqEJwFySL3j2WWNAjxIFGFIVELHLi4SNHfgINRhLWssG+aQng/i1Vl6kbs+b
Y5TX3vUTOHMzT4b+sCc4tqYashBvULyapCfZBLOv+sgq4o3N6rqdpXEJXg1amlpekWlcBvpFQQpI
1XdurLUxWOcm3dJFCqkZg5oC2D0olvBs+cI+KakB9UHH3TgKCFdZvg3H1wHSAllxCpXVkgr5zCyi
O41SFK0MMHWK13+amcVoMQuk9obvDPm3wR+RGfC6bGF3zNz7F3aErZgrWqBXstk4mXXq40OiPIZL
kgEzjvLChLABtVGzQq3AvNW+7qha55C/AT3QEAOCfgqZUxSLha2gjhphWYDJ0oPmuc5Gt82D+yxa
iBlmx3FmZdofZ+mhVqESCWVYieHftBqiMUvwqtnFOLMgePxICiw1H2GhSD/zYqWBV1JBmvT6uVkw
Iorv6AbXGA5I4/RofKmNbUd1eN6F7vyFuRIVqWhatKbOMRK5MU5Bq7rQAHCvj2Ou3nS+6pp6uR5l
CcgxKnoNWDDGQ0j2xhA7HQgl60Fz8zDbT61mWdDhMS7bwIyg0J05QNG7QQvSyU5e+91DHS/VCaYl
EqKCi48SwvasjbLakjC7afON8odiODK2S6odqlJKvGqbu+uTMOsm/twxv+QUz/Zk5MttFqnTngy7
dRtC3Ch8hqyoHy+AvpbWUzjDTWvRKremMxxHt01Z7NLs8fpIliwI1wYvmEV7GRYAhvGztVorC/t+
Lu9/sTSClyBhMkKrDHOVGPIjjaLIpmNH7cYabvtWWlkx9fqQ23V1bwHmfH10i8YF5xGwUTFo5+NA
yI+pX6IT2CmaUzreQpmtjyynk3aZpC5Ynd2MyHrh6kfN4UvVoSopYboUtE4Kj+Vnq1AHnBtNzz3A
gW/kXv4bmDoNup0gfkeDqfpFHZH2epVDv7cFArX9mZb8sUcurFEyV0Yz5sKEqjMH7dyWMKFdTdW0
iMPWUfYV0MTMjvf5m3nwH76p9+U7X8BOzTANoMXrbGiCa6Y+6OWUDObad/kYPpkP8XH4LCw735mD
o61cY/tk3LElFydfH6Qx/fzseOemmkAfBVbxOl11P9vUNg76NkjsABQrC8bmXMnZCL+Qcio5l7Me
tlDodLOocEa0tEX3VF9fX7m5++fczrSwZ2MKjCiJ6wh2Us3akkTfBaCX64alBNGSGcERN0pQamk9
mTFkh3Y3EbJrS1n7uW6O811hTE7tbCyAkJpDMxmRNihGrMuX6DHbK2624y/6Q0TscMENz95555Mn
+GEgqeQ2nhapyp7YG+R+X2u3sqVViI7K2rClz3ynPrboyr9Lnv69ZRP8M/xmUoYlLGvae0efVK2y
C/nbdRuLwxNcdDvEiiRPe4McNHQ3vSp2vQtvJtrmDkPiL+NNfxu7UGVR13Tpub3gUAzBoeDWJkFf
wDbq4kVqKycdhXibTOoYq+8y2grMhRhppp1q6kuDBB8AhRBAFZHt/gAkV14raHbOQ7ztT2lyE0fQ
DnPVtHLD6GEoDpm/aZp1MbhScYzihZM4k2GYPgC0i0AdoDAt9lWMPUhvkgzd1hZ6yeM2cdMc2tno
sYLksg/F1O0QEGiirNIlxknFnGbzMk66NC2cHE4Z2q1M4KJjsmMmapIpaHI3cbeFdrZknVK+L4sX
rq1L88ky7Bb4GYmvNPlTUd4I3iiGLffxHdpDbYvJKw38mN2BFv5mbGPHzB+RJYH4QMpL10IDZZW3
dl2+gn/BqesTGyGZkW80NUCBctvqlQcJlqHaV2OMQs0rHaWVVOtgG/AUdRONqzzdGsUNl7JV0W0z
ae1HW5KNdp1uRwqm+HXZPsT9wdfA05fZLGJumn2wcMfAYEkQVaTctcbbJDplKmBAHtTf83zTZ6cI
+oqDJ9eIV7MnkN7J/iYyN9R64vkd6N0gabBLhjvQ15hK7NJyYxYPtPbSWLPzdm+Qm4jdEb6X2m+B
+Wyh4D/u43LHIXpXxFuT36fxOqve/O4RdZPMejDbDSe2OayhWZ3h/MgtyNTC90oHQcWpGz1gUFYh
KEnSF7n6zs0QNNc+JBZWMTkEkLBTvmXRg8TftAGCOT64LCBBRhima0BNTb+pJNcK31VuODr7Lg9H
yB9Ieeg0KKSobbRJqYft50T8m19swG871j/rwomsveyfkMZqq280/tGBwQc8Wm0xTcgOmteZ1Ttx
6zF9VcnVVgKoogbvoaGeEq2zZU7XNH5Bt5CXhivw5y7d919DpwmSOkm76DLKQiLcNzWYXxpBMzXj
OMrW3JZe7Tar0E72lV3LtnyrHUBlu8IOe5AZALILjnDGPEEuSrcsBbK6UEK/vFiKxOBNObUJRntA
Y53OiZ3sVMq2bz8/EAh2ZjfvKBw9V6tiYeAzEpqoOpxZFg4m4QMxS1xqv9qDABS6KezxGdKlKUJX
595cmYd8Ve2HTbA13dyN1pCtBTWPu3QTzPiHi88QLrqgrXjNOnyG6oBpDKZ9l6zhjDuPv3wD97tt
ueY+tl+sj+sz/zUKuhy+cM1BnAi0ECbqZSCSCtLXHGxgeW432tL4pu8X/N/F+ISbTo5TMCcZqF+l
dnrUHW0XeDHGWbjtul75u2rTOEsppZlC1uXYhBsuDTTVqinmNH2CAtc28wpIHK+Qf3Tf6sMxWRvO
EuXA0iiFqDnRwLPzq3/XtG40Y+33R03aXF+wuVv0bCYtWYiRgyEHRKmcjgphP2RjM8rZNgf3a9W9
oeLkWkn/VneqbcYBaI0p4DWApHVhezfhMa9/yowG3vkEf2HytqxEza2pJI9g8M6CSIyXbSM3Pvru
j3jdu+M9bjUbZRa78qjdOp2Hbn/3xojsh+sf8mUTWxq6w9GMqwFNgOZ34fB0UjAksuojjBpKT6WF
U8C5VuZBHe6vG/qyvjAEYChaKwgo7QCAu3RTVjImOYFgExJvoCsnGWSGVprqXTfydYUFK8KZVFtt
TPoKVkCqCm7vEfGZzSMw/aL3dqs5GfRlUbxKFzzh0tiEE5rlXWqyIuqA/7yro8fc8LolTsvpV1w4
AWFgwoFExlKq5AYDkyJZ3iZxkT6rkkYiEC0O/GA2UfJTaqJ+IY85tzsAXTIBtwfdNhUfenGENpl2
TDqUA9dyBRCY+tSVO1V7WVi2JTtTwH32OBp1FVTCAybQQlznKr1H1uxG/Q5KQLanD9l9vjMO8dZw
qqVOyK/PsmleVWikoYpjTJQnl5aZOVqdFcbQltji1G1N2X4u7XalrYHLWE14JWdhqNN1/GUhzwwK
C9mwognLBgbJod6HyAyvLce4M187r18HN/S4mI74khgQRig4VskYss4MYLAwvN7lTmurCuTqHd3L
IKqx4Ne+Fu4vrf1Kbp2tZJMlvAVZEoAzrnKi6/adJ3Y1rFRnep+Na3KqEBgFTv2G3TRslu6t2YOI
twAoX9E4+QUFNiicZ+qYdmisQktru+mmLJZBlgY5u101qIDqEzRUF4sIpKZmbmFaEWw1PyGd4ZCV
tC9u8h/+rbkqkQ45prfMq5c0duc3KxSRULqYQj1R/qGhY8MIhV0Ult71OzTWe76b/FAfR8dwilPz
Y2GvTsfuy149szf9/GwxDUlN6iDgnWOq6GSpIbZpa064Bj7R7WS7wetvYWa/9h9M2+fMohDMmo2f
kFTCCOkrG+wCeWoPTJytHXnEVQa7Og2uuZa2AIhsfvaO+ZrfSPtoAeE/ha1fRg2ubAWEM5hpsQew
TPKKcm1yRsleV37S5vP6tM4P8syA4ALQWdaBjBS+vO4Jury5XeiRE8n0PmvQntrkFvpdUMovgXsb
dKSgA0imocjdBRuWRw7IB2yV+LY1Fqcu77Yx1WylKx+o0SLVJ4VLD4yvYf60JmefKziQNqZxIavT
7Ua25LV7g94Z8YKHfHOf29WGvqfe2LnRjXbTOwpxe2dwH/5yB8zlJ1hC4KZJel8mBmYsHbeF/Co1
dzR0LPqcAWFzfXFmFx8JFohK4lx/0WKOWqMIowr+a0StKxvzY9/L6+smviaIp9GAOQI0bwDiGlTY
5H1m4nk6eWRweRuAkx+bo2fsQEM7fK9t9mjc1KDQd0Kv9K4bnnVbZ3aF91rkl7EG/Q5s7FDd6vm4
R5UabJ/DKgjer1uan8U/RygEe5CUMMaawRK1nsPwSQ9X13//dELEI4ouF7S8oHkAQavQd2JWeQBK
rwJbkhnrCkkP/9bq77tsrWTJMV1q95gbzbk1wQ2mJB+DKoG1wXpumMfrpZ6nJQPChiBmaPTKZIDQ
h4kKot1cn6654HFizkJ1x0CjjkjnoagD2P7asgMly4/KcHm9rkIPaBaLOdcNzcbfZ5aocFB5D1it
GcNSqMmtkwUBMs5xdEjZB6RiPKZqaC5NajdrrecuzICDy+onuQWawaD86CfVwo7/2rGLowaSUx3q
wugz/cKXAgWjQmszfE/8U7EVy63RVFTZfH9EkxISIrW88BKYO2IWRQMQlKEsdNAI4aQeamDbKqrO
YX4DvY99rqVA16x45f6a6P947/8f++S3/73Xq//6T/z5necoozDwfF/+8b9O+Wf2j9vk7f2z+s/p
H/7xF4W/t/7kx7f061+6+Df45f8yjhf828UfVlkd1sNd81kO959Vk9S/fj8+c/qb/9cf/uPz1295
HPLP3397501WT7+NhTz77V8/2n78/hvFyfiP81//r59N3//7b175lr2Hb+I/+Hyr6t9/s/4Jolm0
2sAbWBMEWIPP6D6nn0jGPwF9ng4whXYQ7vUJrZNxUKf//puh/HPC0EPPEyAvBUA6nO0K5Ar4ka78
E0QcJij8UBaFqCghv/3Pl12sz5/r9Q/wOt7yMKur33+73BjguESoCA0ObEFo4ADhJtz5cWH44JDO
ZJsERR9veiUan/TYsG6yMq32cdzI8sJZ/GIRR11FMADiqoloU9yKIPvPa+hOAzWclYCcBgbAc2PX
KbLD+7LMPUMNx4UWA+H4Y1yoTCAqNibO3xmOG14YEL0BUZvdkzEt7agdUt+uQNum2aM6msiU5eYK
z00ftYswYS+NziXdxin92SP/86PL1ZY7TNP6ZzQUdksEcpducPo6UO/gWQDKUR1+SEQda7whfs00
1C/4gDbDNqvI4PpjRU6GwqUQ3FQddTODD81/n9aLw3q++ELgDssQMMUe+oXoA9s1mS6As0A6bIgZ
BSUYyobWkLjDgfhas2TixMp50MjbkMsgJQ2JWp4alpfKrggb6JmA1BZKYSUrSGwPeDcm9wYIvBa5
FS9fTb++DkBDRUfzGGTYkaK5/Dq913naoaXRzn3eIzmDLoHbUq+QKylj8E+XRRqaG6mUaOYapBzI
WjUD/pODOlR24lSqXhujDu/SJoulA+RNmeQORLKWmpEAurxMdSMaA8EgKABN0IqBXwzAuMsPTWlI
rN7AZESGb2xD5N1XGE20i+NE3phy+cETVGGQfCqfEB/oP4osYqWtJ2Z9KmmW7IeIGd9JHeghxHjb
6k4CxN6JhiRW7YaWBdkW0KF70UIJEql5GCjQ3WoN5a0BJBM5ww70/FY8xMEaDSiQkuqpVI+33YC0
4Z1uhcqP0edE36AVF68YO28A1LodIzVjtmRxTbuLrHRUV1pZayGoqTmNVFC+BNwCGwore6DFFWWM
bgPShf2amdkvTWawDrs1nBuoxiDobtYPZmnkEE3xe/rDlBo5ccuwgAgaGLtqrx2MNFtDjQdNt34t
mYZtKWbeOUaEPSeNNS+3ZZNX6mloM3/YjlALgtgLr8FinZQG6NaJ2UolPH7XvzEzIKk9Qtq6cUmg
6OEebB9jZ2tjHK/gcPAbx3yCAbdyq+e2n6fqXVkNzE3q2EgBs6jCgz6aennIworLtir3+L/UJypz
pJhAzJPxOI5tudQxlTUf/WJdWD24DfioQuYzbcOoXw+SLP9gxPBBjKiO+IvMQHEhSfISkTMCwJvc
Z4ru1WMWJI8tpEB2tILuvN3FQTScGllDwlThRfKE7umKuuiSpB/JMJqdbZRa4KRKg4bl1BrNHzIk
vCEllUcULcN60t8SvYafBtuJsZNaoDDtRAogWy5TYIJxaqn8Tssgjr3IsnyAxKjukSEfAK1iraav
JAgsuBW3RsT4Xd2u+oE1W32UGPag2oBcv+5RGPSjJrgbqUY/Qt51kj2ExC6hZU3A46ood9BOqssb
P4q7GnoMhtU/NnoLrpdS44HlpQFV0FudFbcGg1ayXah19izBs7QbXwvIQ27kvN8aUktTO0pZd0dj
HY/DFjBphEKlFRqrrGz5tjDyfC3FtXKjJfQtTaUUCBIIvr6NtS6p7znxS6+S4+hjiAyjQOo2hqsq
taFXVkaTFasQsm67YSS7Lq/HDyVBWqCA/M1aC9X23eBqdJDLSH5ESzZYCECKkuEbxr7e1B3ApbVv
oGucNNWzUTaaq9VQbkqgWu3yXg+coKq5Z9Qtxj/06oCFp2zFqgA191jirWfFQQrsKLjFIhTGa8Xr
0xpcWRWN4Me7SnkfGUUiuA599VnJAt8AejzrNIe3UbkpDaNpoDKpUU+Rzc+JUfJRinTrZwHB2cGp
8e8tp6qS9JHnQFLb6PgJb5Syl5whpibo+bV8ZYxV/hDp0pDYRZ1FzzEHjjosactWHVCucDNYbjCE
DDFKzzJDeTqFGE+Me3gYb9APYjzoY2T8CPsBJTtI+zqkKHybNZm5LcKa7zknRALBiMF3uaHCq/CC
aK3D0VpXeyTKjNJLGj33hkKRPjm1ykNh9uOqUfK8dzLuBzedPgQg1uBN/JNXI4q1vhZH4K6X0OEd
d1J825eMWuve5IZbheV4L8coxyoR1XcxA5KljyopOAy11Fi7pJAALG0T4JqaKXVRqTJYh7qwspxM
xs0ly+MptiQTt1pddy854PoQAyJMO6hVYHpVU7BbminhOopjiChKfl2tWqNW72IGFXHMjLYxKzy7
9YYbT4WVczyCITP5/6m7jmW5cSz7Q8MO0IAktkymf95K2jD09CQ6gAQN7NfPyeqZ6NJTjxS9nE1F
RZRUzGTC3HvuMS0Uu4HfsTlCtnIbReNOTV1+6Jo66zcwZGpPTk1uTzAJXa/GmifHeCBu3zVjJIsh
0EhW4IN6xM3P3/K0ja+7cNY7IWxV3a+hN00Zs3zWxeSj6UGQmM2HwCt17+IUNADSVumZgtTYn/U6
NFvtrL8LBotME2JaX+QE8HjdLNMGq9h/ieslUcUwJqCxs+xy+9Rjkt/3ahTBvcBKBxncMM8OuJCD
6qixFaBzWWyzm7Bisbf75GbJIqgJTGq2GnkGZQdh4ybqO2ReLnQ5WU7vdG6OSZw/jVUeXfXauZ0J
1n3UR/spC78J7h8kYd+XUD6EI9umffQGt8rb2Ztd4tu7FqSFIzKVp9sknsOm4AusOWJV40xtwkeM
aa7XkLS7pUVbZrk5WVB0C9qjlZmyIYZ3KDqaELv5uTLM7qaIprtBsu6g3RKWUKfEyOT0WRnUbfe9
kmGDOJ162mMNZiAJmPVNJ5M9azwiw+0zptsZDsIFPIynl7GbYS+1kuDQOA/rJQJaIi9ovA7taaZO
OaRxMHlWXajhxEe43MxjpDjyUdTXbvK7EJ5V7XUq4NNVhkFDdllrZpgN4IVW9deAWgQa5VUePMq2
rnc4n5v62HZpjFIrFpweqqom+bXJe5pvGW2WpxGsi9eokyHecC8gc55U9TDAjBrCJITDF1iEckNY
WNUngfElat2VgphQ+V22tnbZo9QA3DJbCpYGAp1vetMxU+RMmfkqdtJukYXm5QbtZKdLNulp2ZIw
0Ycwn+nNlE4o312cyGwzjiJtIO/JwLkhq/cPXYV3jmMQPqwYqQn6eVJZw7aRaKD0mYgPi47Xkd7B
EDZ9xp6drjrEuhlIV/PMIsh3SMvOCXnncQDtujhwA4Q1NX/P6zW+vKNs6+YwystYOhg6T2PbPWWo
7VmxGtiPbByMEcGsgrv0fRbAkYB3rP8hwzp4npRs1bbnsIlfmrqutz7p502fwXUTZNno2aZx/qmJ
EqFO08jkgGy7NhmPCLKscHNoZ/YNGadDMuihtLpm5dBO8+0oxNAccJvw2zxg9jPsQeVD0tH5BC18
fq/xn68x4HnVebecMgj/r0FwqV8iZ0ShGlCEvyCFhZ4ZppMHRG2HiPyMs+dazbCiGiv1DW+Wfl7D
ipzxw2HF4OtVEB3OiGfZtJzOrynCjBBvZn28dQGUiG6Y3xDFbmEpEHabPlbysET97IpeCkySGCRT
W54EsTmomodfZL9eJpI9O4XTCH5hrvE5exMPw65P9Ip9PyJmZkQMqoutPaVi0Xs1mb40EqKoysj2
FbTEEHkQaX4iop5CkJcsfknFYrdLAqpQXIW9udJpfG7rTp9AHU6Lyqf4BzHZmyOq2+QS201V6ljF
Xb1Pcu/oFmeXuRnD+GwcHx8U7K08vG1jfTTW1tspgCLd0BXxjQ0dzmINpxuXSfhPSgEfYdj5sl0P
Kv22ClP0l8QeA6f7L2hNGySmG3vPcGvskQ8TVNtMJP62iYe1ILIzxURjdEToGaf3IUqqKxg5h+cZ
/qHPiA4PD8C+p5Nga3MdmbG+m0h/rrvlNvPVcCWdIlGJBuBUZ8FxgLbuU1qN5iut1PisUOzsOU/v
Sd/uUcS5gjTjsk8CMhV5pvnVrGDfK4lYigaY0Q4mferaByIrqY86XGgczBEu6I7PbN12JEDDOAn5
FBv06GMe870bnNxEOSK/27ZHNLCTVxmXIfC0Vd2wPhs2JhXNOcr4vFlhfliEsV1u476vjiaFMjdW
xp3dIteT1CZ4QskVljMdgrM2sBcuQJuS+N2nuSunpslKNyfRi6snmJ7H0p/NMMBEStG3RsKuMRnU
tDVM6K0AxRkquvj7lMwj26neQzdZJVA2Br4rAMUxaBxcdBsIBx+qZhmuxUBShAzDg3prmxjVtANF
x2M4ucuzZj07mSGEOHDu0GcBLWWg3Fkkw/LU+P4HM/nyLgzry1pbNhZNVOdF1iKCBQlG1V7WHd9z
sgYo95uBlekwXolGvLtqrHaovYdzkvoRB/MKZQnc/b/0ceU2tZQ1zp1lucksDYqRjzCKIWkLh/xu
LtIBlUfl0anrtMNP3Pb7Jen9vcrX6ClLmu5gJz1A3j01KEEQln6tusUXg5o9rJ8mrIN47nYE5+43
hsrwezZzXyhYN+5IVUVHsVQQaoMhsndLkj+zpELvtK7cnAMu1bbR/AWpDjhzKWwTKj60G82i+TUc
kdq8Vt1pHVmuCxOnaK1CjaufTwTMPmbqK2jr6aUqJtt2sv6qkmm4M2v9iN8EucdxG5dVUy07xcxL
XlE4ZDuLebQjd0sS+m0c4JIOx8HtuMj2jWuHLXB82LNMEktEg4cFv4MQx4twejcYmKr0PdqYEHfL
U9u28SFAKXXE3BAvcxjibzwlYieUeYhXSR3uAta8kja443Xrd0GUf08JjU74tcNtjqvlyNp2z6Ry
GG2uN45bc8ZZgNbNBOIR9Zo/9AmMKJsowl1qW7gGUOeKQSS52FQsU1s2cbjaB5gEE4brvcb2PgD6
qnYojj+LzDR7lrL4VXQZu56cRmU1wtmGDl7tMqNwjvTsbWH5Y6RlCBF/d+FFhhiBhnzcpZE7BNhA
xYDgpyvb5937wLl5NSLHK7AQpMLnfi5i5wcwK7kAHJv12WPlpNzpNYPVfioIihraVAfq/aeWNn63
JLFCM0Zhr4ILTGwnLfnGI75eHRF3aRFSBosQeAisGj/hBLuxIsnQNSUTWgS4cqP4IHx4q9bxlVub
v09u7c74i+I2W1STHqtJgZuPWR68aOYZhmhqRPaZHvVNwKn72gfhfGdCiRzEyrgJImz6NZEkvfhF
zvJaYyDylSdE3qUd6U5TguTLGUZOd3CrAg95RHthwpbco6Gkpyrvh70clDzBbkrC7SNowiNshdQp
GHJzvbazvR8bPt9MSIq4XgWcEZQK4sdV2ADQRmK+zIkO34RZRUmCVSFlejB9BjuI3h1YP4BjusCN
8QjB3YJ/oBNYYMu8nVDWPUv4J79XQeK3TOXuPcYK3xua292MvHGEojQhP4tqQCxLoOTecjRBW1b1
E06FJAnXErwUEKMCa6HHnhcRP2dQBKptNVIUnX5lr6PnYbvJBKHfke4CLpWqpukeiuTuJfZ4UtlJ
qKiqLHAnO2cAQvt+/lZNFiQT2GZ/GkcznuqBvgctH06Jg6t6kMbZE8p2RAXR9mqC4tUXaezvTR6T
1yZFKdtIqw6EkOatT/L+u5QS51uUosya1/3IyXLSwrOrdR5QI629fMr1lN+TbB62HRbNgYG+U5qu
rwsrO0xI1BrtR1cHD5EZ7q2Dtj+h6l6NUfiNL7bexGI01702n0PCeIwLi4BSOtpAvjGSaIIYjIv+
uB/rtUSXhFExaW11ECqQn+xMp9LAi/Bcp12/Xl446ImkvhbhkpUphxy1aLsuPcWDNTH0vgJADqrY
ZFflHOt9taqG51qSH1Y3u+pBctf3Bx3DzWvnZ2v3MnLp98ykHno5010jVOxRxJUdvzWrTTQHFZsO
4X2NnHAHVGcZbnUPAe7W0An0KDuT8BRCH4bqXHmEAc84WJJtHfa2eZmAPsENPpXkLWQydbuKG/WF
ofDqd3qe2L5aFUIX+8xH5xSA9L3uZ8BLOWjyAI2SJIAtZy2jBGG0mev69hDPWd3sgOChOhaOp/mZ
Troym2juXX5gQ8XW4+ABuFzJqAaUBotZjWDLiUZdOYdhUHZrji4rNLze4+ZzbTEapu5wnA7912k1
IEQvfdp2xWXR0k+mQSt004Ann/4AAtfLGZ9Drw79a7fi8CwCnqhqFwuU3EWfzhISgpRXMQ4WvcBn
AVXLuw5j8RShIWCUcfUAnzBbnbPE8JdVzPwF3dPEUdqJ5IuH9bHat0NO/Q3RY9TuWyqbLaUmuVHY
ZWjPu4g25WSbVmwdutZrTH3tchTAEsGyWKvlbo6qajhl4BFPBTg0bRkkA1y3uQxcwTDSQrk5cjvs
h7xpUWrq+r6hVQaXUAWMGEurtTDsHCT/wRQw1zIEV5k+QyK98v3YzjjTmxBBAts6kkAOYQi6TtvF
GFMVa5DE401I7ADbqmxOAcMDmOwP8ZRigjDD6njEHN7jd10Ew/zEL5O9015je6d1muiHpo3W6NYu
C/44ggEbSJEA5T1VEstzFyKLyRdIeTTztvdrCE/Mukn0JqtmwHiNnlFMDC7wILDD32A31hd0pIsC
e512C+wH6jBTrxh4mIPuG04f0jFgCE2hwQSX4CqdcW9gWz3SIc6vUZU313WNAcQmVlY05dhi9ATO
GlgmmxbVZ7bpMBOH6kAlnS/CHJ4+BTcdUHTNxFAVPuy9KmHc2cJ5DRVYycbWZPdIBUmyASFpbXqM
dRsD1JCxuaspDMYGPyBNQKS+Rw5TtxIYP6BoA+LUDfapa5IMVbJPEzD4tcMFopPWpkc/mGotKwQs
lA08eN6bZA7FRqHh/mzmqrlb4nh4XzOuXtLIMGDgcrmF8jtcimjMeFvQC+O/G4Q1exVXNDnQtIL/
dcNTmx9H5InDoGRORlNoQyGWmDjSTFBW3cEL2VGk9wz8JUb9/uoi62/YmDGxkZNkMS7UkT5T4gjf
zMxmuJtVk331k2G7AEg5bmk75GmRy0yL13YdEFGciyVrf2imAdmHTab6w2ISlPzAnwexAwyzsCtQ
7uie0bmBrCuvnN3hk8dftWZ0LeKgyrHiHW23ymZYfXEfmdNsffsp8uP8lNfxehPOPeQJ8EYAXH5J
HS9X1I81CFHU92fvemI2o6zbvIReWsDsNBHYyp2Hv/1eWILCKgjC6I5OmYjPjg98LtaURvwYRO2g
NoGeMlzcVW2rMgMa7zZNKNjZDgug+twFONhW2C9tuFvpSbVrLE4kRZW4Ra+GxW061PtlShX50tJL
2dkSYR6TtcF4vRkVdgVB4449p0RwdIvGUQ8DH5QUrsKrHNsGykS04Ol2aVKQ81hlZ3Hws+hvlnxl
0S14cCQCIBGitJIuFRwW6wm+woxdCdqwDNAGRn+td5LXzXfbd1G6TdDm3UT4ktBXa0w58yUc641V
8/hloeYiCDNpOBZwa+SPwHPzr+209l9cNDV238mYv0QoOiU2ax+/eAIsoFCDJQDXM9EDXbT6Nsf2
69ASZPY1dP1iyoUBXDmS1gxorJcAnzATUZ9umxHh80VXV50oorgmN8k80LdKA3gW64QNqsDFyssm
tKTZZ4ZKXrQaZTeeyERQxkk1AOl2sdz1+YjqtZsCcYUZpgNhHJYsNwmb8NUUJ2RvkH6B+WYVpFuC
WJ+4bCcZIElRh9V6JFG0mP0QjjGig6nnuDHmBtMVPWgkxY+GOyR+amnGLcfXgW7FeQ7TURFNtwNj
OPNwCasSOAdcgNDgCDjwdMZcLYnP0Sdma+Y/pYkYvzmYVi4lrvHInSn6I3u/NEON8lSYaNogdxGW
vHM+Ts9mzSRkBGLEnMPBQ1U//DXFciIU4kh8C0PmAUOwt3Ex7EZ3+ex2i43yAd17VGNqy2T92Hca
DpSXw3ObYrNlRdAo9tInLoPUps/XB9YCN4EBrhnGbcvq7wuL2k081qjpxjZhx0YDLir8mq8vlFbe
lrOakT4+9oIC555w1RXDlJiraoqY3MllYHsa5AD5V6D8w0EvEW6GJuX1WNTDcFWF0VCd+5yJ9F1l
iJi969g61TdzumLzUmH9ekWsnrADAZRE56XPOn8Y9YpRIvrnmB8pWytfTnMgoQuYxfxjHoMaDmU+
6F9kPBF3NraPqs+RTz1EvZGt+DFewnn9SlrS+5eoulQHeWiyfEt7zbJtDoxiekyqzjW4BaEcC1co
y9Mxb5ISCBBEV+kC3EdXE+4MDFFaJIDgLaG9NFLBNEhkuCneEt+03hfWzELdAZXvlnsxtdGzV37M
tsvEYrsj4wK73HyicFJQQcBRzdVtmWv46Qxh9KDqod/NgAZfM977b3VLqmvqxxDtL6VncFD8Kywf
WlTYy/KQ1X48SJfTgtYppjlrCs0dyqXbKWrnMpIhkeVQ+ewKxRyeFEmiSkxls0eQY9ZvPQjxWD6s
zfakaaY7zLH591DO+gcs7Czsc3H6lJ7r6aHtZMfORon8nMoJ1mVBb6DyDUCugStQ5V4zYtvD0sHo
B5KUtuwbn32xCas+w4uEPQcofctsxVKAamMqOxDCvotW5EkBt+DoWrtuPWZ6ILdNAn/CQwPuQnQy
lQt5wUc5l+3YrQccBvSAtmqWBaCS8U0ikwgHuDKB3TkSD7iHpuZr7JPuAF9tIAC5YfAwSuyJgr2x
ScOAnVwjMDm0fXbTMEiBUreu+QYeOsiCSixN4BCGS3IveOMfmzZICeZYA4G3Hmgq17lP7AFS5/Zr
tMLhBwSu/hY7SAZl1nAUlVmzqG8mZhy4IUZRGHrr7mpFPFS06QGjTBhLtwMranS6O80m1m/HTDS3
HnhrXbRywWiV1g5axlBCzBdNlXj0lDc/MMvGYRdqdGyNIKTbAFKW8WYWTbRpdAOem0v6ZIu6djiZ
FYluJWT0TTFxhbAWLOVNp9vq6JgBUzXP1efUh7xUk5qvIu/rYzhyDMfC6hXyuQF3D62CDqb540i3
vjPzqzNg18Jo4EYq/QwXZoercOy3DojWFean7tbKprebIJnbB5DuaJnNuUImziUZfK4W8CQtSBIp
DDufGpfkXx2M/a5CUCzuAKZi4XszDTtCZ1JaOmFtsLqNirkC72WDj8Zq1FdRdeQZSWJk7gZml6Uy
hQZTkKl5E/ESnDB42+R6ljNkF+28b7xZVvAjAlUmuYFo26A73vSWPhKbiyswScYCE+s8K3CeJocI
7wzTajT6d4lyzhQS0QHXvpLsiAaZv2DiIMq1VxFANriPbGiVt/EmMYydu0GNXyDexi1mXDM+G5ln
N63v3Gcmp2gLCpoCOXgOX4cwMEB0V1yp7TgDsIh70jY7ZQBkFbPgZxrgJndDlNa7mkRzaQL5I8gi
faCDXHl5oQht/qsxocNPXXWFDxhwUZWs0RavHYYFtJ1Rs9XVeOpagFJL1NUbnpvhD4zOn7k5oHbA
4xgWhrBLQiIw6HMXNtPfGDIzzksySNAFl27CSY34DHr2ldLfDI0wbyMiu+1MhMrybwSy/6Fp/Z2Z
8zNJ6q/HUvBJQP0iISo3+uGxg2ot9W7FQHsIsrwQ3CVg1APzxpEqcjQH2aDzPzwzJBe6z7/oq3gq
Q84IHJYzzHUIyIkfCDfzkrJVcEyfV51c0MxuJJhDERxeBcj/67xrrFFPtloxxA1RU4MMkXcHDP3R
8ek+9eu2cSl5c3xhkCsHLUHzmi1WvtJopcExDYCYQ3bBupG+YdyMGlrSpPsheu46DL9zsFQoGVAf
uC5cv2UMWb87RVMW4mZmgzhQPg73HWCNYDNxH9/oUMKiBl0uCNgrytr7cQbXdB8RJWGAqIRW27Uz
zm17U8HGK1wpxnMdGqPpjbnkwiAJZI9TFJsOUBnEcE+sVZigTh2MmEnl+gBTJTPJTZZqf6TxkD7Y
uOPYWugV3ow1uOsamwODRWm1iwMUl5upTuKk7OrAoywMRLUAg0NuaDk38Mk65i3RTemWwR1TTtCz
WUQH4fScJ3kK+xQudCjK4ldwFqehlHQMvoshb1FrWJshQCjp288pHyK6bzudr9ukCt03ntsWbuKz
hbFsr+1Ctp22IAZMjU/LVQKJRqM5IrQrADoWwAcvRoQ2F6vs0c30AI5ZNs9n5ntcM7CT6TgYRDMI
LzWMCPtSIsEI/VjQDvsaQTQxSPZxLLZduioNsKHhgAXCnuH4Bm2GFo6r+ZSEnLDdZJ0/Qo9C7P6v
zfEfkUyfRvAbxG/5pdftt3lcxh/rb//U/yMWKsN+/b9ZqPvvs/g6/ExDvfyNf9JQQ/oP+LQTxsDa
weAbXOj/paHSf+QpTZEZiokrrMegLPkXCxV/CbTUFARRMJUjQHn/YqFm/4iQWI3k6os+DX+f/ics
1A+nLAmRFgU4DA/BWQcK3eVg+tsp67NKyHgFDaRyVQ0f6CUdTF2sSUU6dK2Wztcpo/YbxujL8W/v
6N8ctD8z9rPLk/FWIjBwYVKH0ujDkZeZpcfx1rRg1Aic71kDYteUrlW2rWNM80rQHQDBYZLTf1+E
En/Kcv1Ld/a3IxfPx/0CadEldQkeuR+tzNZkkYtMu3EDtjgaat9xXPp5uoz7cbHsGdAc/46OCc4L
Qe/DTbvKcNyvC/mTpc2HC+fyOcAAhoFGkoKfm/6lDfrbLyCNNB5gNUY0okr0E+CIvKS4eIPrNY4u
3SDQ7bvfv/qf6Z2XV49KF7dbBNVYjBX5gXqsycinCQUJXDo8PcNfqfmE+YY5qcbi8vn9s35dYHgW
+LUsSuBDTLMPC2yxxq6KgH+4gkzbFnKBc9yRr8C3wMIK7H7GESpvkA5L3n7/4H/3JeHKjS+Lewp5
DJf//rf3Cs5c5tCU9JtgwNz7JrUdJnKxvcAAQb38yVLq33xN7GPsH/AG8biPBjBSrXHuLoSY3qb0
rDvbb2sQWkped+9iDtmxv7zq33/Dy6v7sIJRHsF1HOZcGIBkH8iv1hOV8ngCVkYoefsnYxnh7H96
zK8bNQERAvL+i+ExKt+Pq8W1Qtl+5puec3pexPLeJWpVu0tyQqzDfhc40JY7jin0H46IX3/CBKhI
Bo5+io8Nju/PP+EQL1EeScs3huJ4wC2KarAalH8HuxMwwO/f5gdlyGVX4IfDY8BVx9mL+c3PT8sC
UAEnkMk2uku6FwCKaQ0+KFH7MGzVsrUQq/flinkBKhkFekxh1ktH5zIbYLw1UFQdzWD+5BT86zvI
gAMBUAuxay8atJ8/VZ+TelwrN25UM8XuTCrhEP8FZOu6BVD3z/v9/6Sl/7uHQdrAcDBAJAMC+M8P
844kja05zkRp6BlYWLundQxWw5IY+fn37/vX1Xu53MKE5DgZ0Grjhvv7/kxx2nVYSHAkB7N9D3Ul
jh6Bab/8g+rh1+WbIbsvRq0KsRNumw/faUXGLhQaCEYG4qSvOxfwPUQPtORgbo0FRO71NxJYAWO9
QP9Jpfjr2Z5BQQ7tIJTyOOU/GoWvw1KvVuI7NmgB3sDXR9wVYKK23qRRF/XXSka4ev7j95pFkMEh
9g6i5182zRTmdTpUqcD43ds7pELyl79kDL9/yi/nHRQkiMDFrYWzIcK//vzrKYBkHcYItBjmMLjL
k666rqY8OfWtqjY2yeVjiM37JwczyHJ+PvFwAGUQ7MSXjYqnfmjOxjnQQawtKHucNexcxXV+4MJK
TJ8bnwOK8a7eQ57KzXYYFRYUBnv1O3D/4bAQ7dmxI1kfH3rQBf0fltkHpQuOD/zQyFAHVw3ZPL/W
M4h4Y6vTwOo9aNZ7pBJ1et+ltAZRI9IgwgxZdwbHu7mrRM02rvNgw3Vw9mxb339vM1D9NhSoxLjN
Y9X+aV//sgkyAjtgVDzIBr2YK354cUhLASYcg269gsj7Oq9afPGXXAugUry9990QkOuWB1iYqBNR
BoYY50Zb56MMtA2JWJDMICZaZToDZV5HJ+gEjAEeoLIaIUSzdaX0EkdyT6PUIkBK6Qk8tIvYHj9j
aksnh/59nLGYNjrqtd85i+4RjsQikhsMDFAAJtItS0FqS64NxkbftQgHe1iA6Xc7C8a+2ckox5+L
HHRd24j0/FQ7ptpdfdlbM+nqrpCNxYdgan2wc9jekbgadpFoewzBjeXfspC7DTEGE4sc47h6k+Cd
VPDO1vZu7H2gisbG+RlYNoyktNSovtDc5v3nLu3sTUtiu25/v40+/i441VHHQ4cG6T7Uvx/VkZZj
ti00iH7BDQcDGaosjji6Mf1Tis3ltvh570DghP9/lKHcZ6DTIInz5x3bYdSyshlJRFHSps3XIArY
XITWAe2JSKtB1ZuRI6LBxt56Ap4DBtzxXdXCHLMilQYMg+inq9TW9CYdkP9R1ilr7vzid7xvrmIb
BUAq0gvVxHTJBnda9eB74WHhjY0HloTwmLQOgu8jI2CoU1V+BuGp/eIjHQQFUFG5WQxmTiPYdlvM
jhGhubjDaKfuE8Gwbca0szePbaKhnkGplRc53iaI3BCIFYuDTqYEU/7+ciS2u2msEjB3M3kHBneu
r8DJ6zYyH9MZRvQEeRhr3uDsr1UVgxkaZ2UzJPBxq7Js8BuQyAwBvzLP7o2c4TICc4qoD0i6U01A
5rJiwXSRR8h03zQYHUJkNl/CzUP/GtftUSYy9l/xo4OEC4fxCIQ9y5d9gBicpFhw88xIphP6CecJ
A3VNLZtFgj6jVtfdh1rGmGPgU7htOKVBemA+B+Yo/Fh2lC/3FXHyYUqy/jGKGvE9WdQiCgZ5aVaE
nC5Qf0hoZCpV3yqggjDA4+AHFWRZ2A8wCuYRWy2gnyo9WLcZQ58DC44tDPTiBfSmGdaudyC3T/ch
1fwIAVt7NUwVPQVrvEtnlu/m2MZnvHxyM7gEnKsk6PZtrpZ4E4QAqeCOMiXrAWjL96ZyX4Kugfpl
VYZ9mrGiHpoA3nGjUlOPQQ9oRdyE8eeVTOHBsBykPF69gEoU3YEGAimej97DrgZHps1z8KN9EGKk
6rQD658zAkVOFl07kXZnISh9kAyGByAq1in0Rx0MY/Gw+Yd12ZhvxgBF8V7nKuxveCW/gUnyCEU/
zHvnyICGBkgeFHYPOyKAjOELyBlDva/qKNrJTpL7qMOwvCPUgr4u4wKMuG+zgShRUeCeiwZRXYLr
+wC654o5HZv2FbjufYleatwnY5dvUizEtcSphZSCXuENdgHGgUsQrCcETq1iO1R9VW3ads6eQkhO
GmSg1yc0LfzYzyRu4AnYLnsMu2i39avjr6CUe7zJnnKcGHWNayRI+MbyUd0JH5A9aDOkVGECUodK
LWwh4dnv5/azBskS3kfzYxXztQCNEQTEeNcQ/zJ39KVDlwrEDIqmORiOzlZ2C8gYpmk4uIqoAQE1
BXC845MKgdZjVP4edXCc2IhxBca/gDJ0K8dFg7TQwKjDwlhgU4M5vG25hQtcb+etTmrwcmwY3EZz
AwRhlZsqquONps3zADTumLH6ERF6071yU/ve6FQch5FfdesCeJAi3kBEWKb0q7T+K5ghSIlbhl5/
QbXzzhJcbjbQb7Odkk8dFF1Yz0lytB7KCa3Fg2X1beDG4UzAj3vtKn9LbQYVeN1+Dv37PLTPec3e
AXtbGD24kwMrCocU2EJKbzOIlyYfTiVLp2Frl+QzSB3w+oSfYBgsLcxT5a4b/HOcAZ8VxIJeZa8H
kMpxm47PdRDGe/iL/1AOlNk8+syofCNN+8yooUWajrD8UFMO6x373+ydx5LlSJJlvwgpMAPfPjzu
nLvHBuLuEQHOzEAM+Po+L7JmpKpEWrprN4vZ5CIjI508wEz16r1HP4mKjgWG8eWb+g7Jc30O7dLe
Wxr9Qwqr3Hgd/vi2qXvU1PS64xmrMmCLSjz2SRrGGRfvdVs7GyU6hvATmRzVgpXEqXZXuQuf0DqZ
OCvSa8pPzEJVi8zT+RJX2GLd1oM7b8aa4Y0gfMFXsL2zIfKylSEegbpu3U3Gmo0+xZ/TiIgxVE/i
YXC6gF4IUylxz03jFM/p7B8ucTYKBK/fGd4Tkqo4WxgPS4d3KGzau5I96RHJASrh/BfGafdE9YaF
R/XS1ZtCeD9LCo9uU9SW+TkQ5Hn3BtGccRh1125LQsJldCm6nG/dWBGG1umu1MKKJ0uaJ/eCSxF1
82Iv09WKyLoDQUuTkeaXnQg9lhj0URnerBpZOurnX3oV3baaIxz6siaJot+bMjlrVSWH3DTNxnIR
tF3EIpQV6EyecbapyrNdN4X6tgqql4Bgex27Akd5UQfP/bpaTNzHl4IMmuWlDxX1FwNIx2yw0z+U
Rfid+ssUc8biBe69YYct4FtLZlST5ERsmgDHikpr0hnwGSJZpjdF133LTJ37rAzPpKGZe1XN79DC
Ps7Xzn/THmaxWyX2Llza7CdD6+YKRgq7LdyoenK9oXohU8mHIjF4TJ217uyu6TigRbYt03K/lvaB
qvnQzZKtKb78JclB8tTR+bOXI78h1heeVLc8ZsI9inl6qpvuehi7x0ab4t2Y/iFPcw/zIzMi2YXf
YqnSHVZS57ROSiIuLQWDQxYBi17tksrAMR/y25XT+VH10yOTNYzuszn4PmDQ1tw4fc9es859aUua
ixChOyQuVpTZube869VMDzLrOejG6Va65W0ZdM/JevEKo5ccy3n63RJw3cBSuM5SwbmBGWDCibyZ
04s917J/4wTq8LLBfb/KnaalVMXH3Gp/09ZSxrKar0OdHrBDgKaTU3BKtHlwGp7+veAXybSYD7we
PoJ00tvAuAdcMC5xyCYrb+2UlAk5m42MmuaF2c43nQ0LuJQm1FnKdtwqVDiexZWxXRost71ezoOK
sHaP0QcHuBd3rAhJpjzXG5FyiUN2o04hLipyad+4hsmvrDzSB+v4AGwuipEu4MUw0NlkedJumimZ
iI4OFi5QeLxNUjAIzneEJg5ZSPbIXfhvhvyxlBE3OSsNYtXVn7MVBXG5Nj9xfxPKcEmVhuOwCd0m
29QuJno9wYCljo5x6j37TX/tVwWijGTOWUfdZzoLthVE5q5MyvHopa7YFo7ut9ZivU2dn99U9RLE
Y5fcEl9KyIzl7OkpTzbuvCA9Ym7eLlO3c3txldvZTZAVOzsEBJs0uKLmxCIOhBt4OyTObqr6n/mU
fYNKOeGww0jhr8+erZrNsrrBafZUGWMA5G/UaFVKVgKjQBeS6fMPXZYfrJn5iafkfYiV3rOfes9N
9qbXB6bHrwld21xgKJfuPZXG3o7WiUhZB4ve/Smr6azz9mq1rYOyIQHjQWUbsmft03LZT0F4j6r8
YtfJz6JxCat6O5SjnTvmu7YNnmavvlu1V23WuvwIFMYSZ35hfTxHNzesbsXOnVwCzBgr9k7IDmMa
l70Zp5YglwOyzamI7zS4S8XIxxF5Yts2hb4tCmKBg68JdHC+E0Q7RoanAKLKIfNw26bwoHqso8qy
un2InrbxwPhtQqt9tQcGw4GxryvLfpRpcOsSB4l9Y10RZADLYJfD2V8c9mFMbkYCI72yXGZSrbfy
CxqspiYBHP3IUXt2Sbkwnh4cb2tYjLAsxdUaNtelb6bbqWm/g8Wz4mAuius2pCKnmn5j2cd9wPD4
blz97AiBgrcm5Oqu1w1JK2y6S2K95HQlz4RSvwhLIhcFp8nuH0PfesY/EA8agdD47u88CCfaUMwZ
UxD8sCPyIbmPw30OegGElTUfoWxiDF/kf4PpA637c8RUuUlU0O38Jnz2ZyEvrtR921TrwaymOIe1
81ym4VOWWbAq3P4BishDkJr2FqaEIp61/nBn66yGDn8E3sRt5QSPpsJTEegE9nXa3VtlXsU6MTgi
/OBEkXYgNq33EWZshh5etUU0v8uTKYh16/d7xi0PbV98QSX1MQ1kd21XUW8NuOE3oe5/M+F7qPHO
bQw6Eubi7lXbkhzm0v1snflBdJF7Aq3svFiCLTNyHry4StIlHoU252le74bAI54i02nvpQXeuX6p
gw1+3s+iHq9l1d3kXGDnfrWSrUPXs+W+yvEbcnDc8NytV3gQPoam8uOmXjjnKEdWjtDrIAL0sa2F
D1kza7+toTTnYYjYAZ/ldxiK2bWbn+eJEXdXF9GhawdunSWAl+1igBWqw90d4jJpS4FnWq5qVzg+
C8AU2fSoADq76mMQGo4zTpYN1tndAhbuuvIwzqJ7sN+weSFR+2v1+vDeJhJ+Y4f9cm6DXu7rnI/Z
tMLaVf6c3jhTv7dJXmWzPDAYsj6mhi+M/f0Q1bCAiEEkh6ay7ouw2Yd6eU2n4bWNch3PS3oKAnXg
NNvaAzFkbZzrdtAP7Sgvhqf+2gF4HnmwIcqlwScFD4GxDgsBo+C5LYwbe6u6723vfWFjUjQ6x7G2
xUmF/JqsMDTbapx3Rapf4AK8iLy3r/qwJWqQPvYCKveIjaxc8w976g/EBIExeO71VLUmbrUkDRud
19Xswr67MbaiLaGD4are473njGqDvTuqAxG+HTrGqcL6zMWim9uQRL4gSNKw3VN5E9GW6JTXyYNw
mzSeAlOimCSnqKsxp884VOpwS3xxZwRNLekaOmXxe+jM5d0ljZjhrdgFFTTETSUYrF3cNTY9azs5
hN4qWbZsEZxnf2/NSrF5xpujFxrG4Smykwz+uG2V9dbC5sOpUhQJ1kuW/6y3HsbW8tHPFdf0MkSV
PuKky256bZUPJm3737qdOPwspSkZe+JTt7JSmDBFPrjWOTFoPuAlPPkTJcd7tabaHC07m28Hlj8N
B4GB6JUYUXfXYdBOYlvkVrUn7SPvk86C26TElPgn8qPVbvBkGW55pcJ+a2vSJ90ontspG8U10JPg
2e+G7F6iKm/HdLlbZfIchcsDuVn7yxjjbnG2ct51QEa+HLXezYFyNnkv2RSb4t7YiKwoqj1xkuED
Js/IE6YdHLjw11M3mx48WROBQs+yNM1Ckd0kVvpsXFKgDd+3MdUjvutNtY73Mo0eEIJJjqmZhUKR
d2eyCuljaYsbaawSzluiky8vK8q7DC9dW5Cdx3YSJyushKWHlaLwvNQymU8VQ2LOdlbP8ZdWL8Y+
MTqxp7hl1JyeV6Kju8Y37V3bqKtpnN5KCB8b3dvjswrkRxN2r0GATYwMFFI4Syq/CsJ89ByJ2DAg
W6/yaKDSD7K3rPR61EdlT8eas2RTae+1WsLqqe7Sd4lflWeuaz1ABWPsWq2zDaoBktBE1HuTtM0A
GXklAZSmPdvRMfPP2zrFCKink+XgLBydu2EFap8ZmVwxXv9qy6I9pPlinrLOqqfr0YzNJ31ZCilG
hfdVV/bs9Qmrx5TsQEzmAP7AYHnMEuZHBMrtkobnjLzLvZk0RBWVLgeYQpxnBaDosciKa7tJvSde
8E+tzH1ONY93VxUtiW+MbXjyrRcaYRTXhMHO0zKo9cS1iJeai/W5q+nxKvLY90EwLmfItG8Aqq1z
KIL71CneSLWMV62LkTYLovXV8mseBIo2vdM6tF+qlo5+zMpsN2dD/RKtCAh+XntPIsUUimEnI2Tv
hCcz9BGGOH++Z39Y9s0ObP/bm7zpFTu5s6kG97UXdnhFVKS6w15DHe6Z4oZdjhOlBFN0Iiz2puiN
2USLvArVxHqwzvM24Ux2PRMM8bX5hv9CFKJngjarT8bMcGq87mHuyeh2GeoTbwwufNx7snSzK8Yj
zQ5rTn2ammE8haRvj/mUdMe286YXxywJhr/If5cCW1pPER1TSom9G9UCK4EkbR7VUGmiaJcjDZHD
W+QRE1EYT2bxWTHEjB039ZM/5VncSqc8r7ae9ryA5Sb3sFAFHoWMCvX7vMy/C6fZL6GTsL5SZHE1
StYdZI6zrdpFF4dl6v32KVXgtba19NXN0K0oVjgy7RfXg9AhZZd3m5R1xogkC4KKb5sYM4C4wqls
Hy54hNiyljHOhvEexATKmOdXp6lMmu0A1RaSyAUGxNZifVw6L9iaehbEWWVlnQDuF7cKHuE5T11r
3rTZ0u7xCbFWOEzTp8AuvZumGK+tWtZb3/Gqjwo38UejC89shJ4XRm6B/SmzUu0jhONfIV4shgSO
wV+f5uozisiMXBc6gWDTJFW2KRQUle6iNNMv9cWWqDyFCu9OytoLmRU8kAvgaHaAlAvlIgE239l3
64h1eRsGw8WFZlwreGjtvMGhOro8kMdFKZQKC9Wa93v2xjgdiuhztYmo0JysWUTFHaZdchZZrtrT
lJBlQKVG2z2LQeTuL+giE28v2aOE+ObaqB94IdX8DrqDuwBElpN+AZrJzbW9Dn5+mutRpzuoAtWr
roc/Uwmf027UvF6bQoYdtq6J6i3GA4mQIkZbHACxON6Ju8JvaYH8NH8iauV/pTA87nsa/vQY/Bkn
qL7UxYnydHEpKBpo/HbehQ8Vztjp7EYT+6aTAaDosR3q4a31Kx6qpvT5Fwb3WHEh2+AvQAgJrOKc
ScPWD1IBDnQiLQ0O41ktVX3r9K65r5axUHuiM84xmyY/YjlyltBfoTuiZ6t6sb/qvrbjGiJC+2uQ
lnZBPREK2BVe7XqMyjybtb7pjK1ZmXbsj8jy9cSmO3hOO4aXNX720LZQeqYuKs9OngzhrkBV3SpL
QkqbDmK1HhaXJAYX4leNVc6RM4G47tHM5fzeFsjPkfi25gKhUN+pkpCt0qTwho7jJhL9ETaG97Ai
t25D/IFXfNofGVUtMYBf4WCvuzKY1w/2WGGwRY1cIPFSBKHd0XGhNxBeo/MZzOxvlwLB5dLEZ3u3
7QJazR8qm1Ua277F2CjVYk8Xn9QbkPDsoFU/8ygkqDD/EOng37b+ZG9K6CXplPZ3/BX3Ccm8fHai
0Xu1RVccR898hYPL1Y3h/NhTbe9ooTLWoQH2Obd8r+y2DUI+YmTKnVZOg16H3z+qDq49tP7DDK0o
wHQ8cRoY5S9k1aeQRTLdYnhF/L52rkc8r1+pC8gqBrQ2uWfIkbWD1nAZtxI2BLp7LHROQ+96pYJp
lA30BW3g0J7QN44j6k4VHdo2XNzrvC+Wdtd3oRfFmWKr4c6Zez+4anILshWZPvJQPDCh3jvTZOBc
1Nry7rDYBv5RtjnBFfa/kawkBlnekF+3fYhOttOe+Hjz9SgIeqxbQMR830HQYxvDrcIUFjdHCi+h
H2T5QMVs0uehWirnujQ2R4E/Wfxz4RQKN7bdRgM8Ec0WlLVJrhUm/mFvmkhn+8xzO5vTBZDWhTrX
OtAg1sV5Kp0ZGl40eLo6spp6nY9h7ZVdv/n7mID2MdY/SET3+b2rnaK+KXvGOlt7HjXbfJwuJf8f
kfC2biK/k/mR/zNO0URl1ZUYyDYMjurvUlfRYcmgXM5eW3MluqW+4xleh72anIE9BRgV5tcxaiLw
bYa8SmRl+ghgUYKkQt64L+1OHfGRsTphnV/7QYsQJJqOtmpmeplSd96uaZOfmMX9joL1jSuVJosC
/KpXznLH4c3yKte/wmxcHess8g/YFS7Ojxkth4W8h1q26w42RBtrS7mx6CNqo8adT5m2MtLRDN8X
w1wr9vzR+TmGhbVnZp6wHlFqcZHVsvda59m819AtGrp8pYojEjS15aSG5bpRBEYbP+dZ8EhwX1WB
gxBEoi+6rc1ijjIPNU1XVHi0IU1CRKRcii3PMpV7rUFCXMYq8Au4pA2QEx5zJ2y+4UUtu1F518Bf
yy+TiuXBYhvgw8SGhvwwh3BhAougwGrbT6Mk3Gl5cIewZ/gIORVZellpVtr2kd5b6SjPOUdEf4ZI
YR1I4/2qUouVGVHSP0kl6WoQ5Fx+kmWdaf/UD/JJM4QFM/wgHXGJ5Eew9Bq3iUm/EUm0W4vf6ZJD
nGgW5K1V2e5x1U5+bkRi7gM61XuSVDD/pPPmNiu5JSa18qtCRWBwFgwSBpC7vJQMWl+z0mkfShG8
k1CH3SHqcFebKXlIkhHID4ti7mvIRpwMbRUHsuluQqUCxPohhJgFLwMpj8/JBkXIdFKX0wn0CLgP
H/IBO5mHA5wQog1E226h5IybAIWS7tuT4EQvp12fvQo7ca6CbvxSpax22ApPQZ6Y68X0/pYbY7iN
hsA5Yy/qmDAp9h/mZZ5sRS9xbavmopEWztTumSY6u8rrk3x72fr9NVpZSkQRzJzY6bLmCStnf/ns
g7KAfpRYkra/yO8jBnfvmbsM73MVck049oPF/+nGEat/NzpMhigwmvVsMzmOtgsjs9uZUmSvrWb6
6Xq9fmhgLN9bajwXIkA3Ev4cHBEUUK1A9SEUAcCDCFe2q/MBciFkdWvI2tt2aW61m9pHxXZXlEuc
joQ7Rvaf1YVd7XyMOikHz5r9yBI/3FtZaxM5Zq7NCLbrOFdDcHV1Z9CJgQThOZNXK3bug4gI0YZZ
LWH8d56Nuj+nglclDLcSENyTYze0A7g3DwwkI4Z6WSIPWSXp2QOrsuN0btb96tr9TWpN6osQusNS
tunXaDdRT6+0nuhpUjLVCZEmp7bsU0MO79SzhQXSVuRdiRwtK1lt7+D2c44/fk3cByOD+aPTnYy2
ydQvNxKs7WMD6fIQqa7arWsT3iLghABOk+PkrZCOVjhe9khm0jaPeEKs58VvhgfFVIzyNW/3PP/Y
IyK72PdV7rxp4V06t8RzTqnHk7gxpg0ekxwHQNgW1SkCFnLsipFdc9A6vvw82hah3YII809lk60f
uOlQtdMLx6rw1YPlJnqbUfbT0eqifBqdWbzPnkxvPWg13M0yQ8fx5Z00xAb9i75K+rA4jJ7It3aL
twA7HovcKfDp7bQ8lvnqHJKsJHvfjRVlRpXw/GfRL2dO4NGUza+qYH2A6sfxcypkcNu3bq833YgD
NdAjX4eZHsNu9tQzEmfbo8wobIrqvARs2rmg7Rhu793eOpqkmUBapCtqqXeWkm2oDpmsOGqXD1Iw
xQ4jyUtdl9/egM2kBUEils4FW2Jft17Uu5QL+AUTaVETAXAFREngem/Vl/qGbN62WZouRlcx1yXd
OGgWkz0ihTdXxq4eJypnwI1sfG817YQ1Mo50sN2eW2PzsHoLLXNaW0t2pVWf76NpSq/weQx8EJyJ
rDThAq7RsKppfVrtud2WHKK7iYc4rmaNlcqOdunoPgd28VWDvd2D9U23DAR31F7iZRDlEam9gL+0
/Oi00DtoKuKX1XIf5c6cu6Sulpc17GZYpPmMZbAmV1pvchNmZ2uto7ekTmoEy2CBDZaLgrNyItUA
qJ3GYPxDOeovwKPqgj5qLxAkc8EhyQsYCawrV1pGlDtCTUOEh52k/1CULjwlxsTZVXhhLGUYNW/D
C3fJRXYmAGYf0BRpQi50pubCaVqjyY7JE3XP+R+K04Xn1FzITqRtLyg8aE/LhfvUob3cpAIWVHuh
QjU5ixZhZERXQ6O4Bb3Ue7STYLlel7F/8S6gqRql8t3yCbUt1hlgMDQqUjzsbJIEPwb1Ix+9+n4c
PWKCRZ2f5QVoRaZUvyShC+Sqt0NIhX3/E/HYvoI3m14JiLSbxLnAFdLCvsPhBTGL84ypwwWjxcaI
JvaGoiaTiYkwCi81Y7uyDNI4ROYuGC4pLW9gbuEN96PfWLdhztgipfF/7gg03Sc4TneVQAuTKesc
4+mC+7Jl9xk6urnWFdfhXi9TeyQV7LP/l6jQYJbhKxqY8lcXmBjNHcdzDXLD0HrdLMjcj+mcMRle
/wDJJqTeM7BUJFxKRiZAF3JZz07CxA7MAc1EnIO5sjZZwk/QKAxYxd8AtErrs28MyGC1LOG5vbDS
GHK3PxZOGnPkrY6eVFtWaVxc4GpZoPXCJNNqj1BIOQPyatgt2NWOdbAMO7wJvG25p9Rboigx0T4g
Y24B1ZYQv0ZhXxlluecUTUXGZHSCFzeV9u8sXKLjoKjJpiVz7ZfO8/XD7LrWS5OP8kY1gTqvw/pW
9GF9Y2ixHpzCU+c68dtHkFo1yzfS2jn5QT8qZHS5ghpiOLZ1LiC7wTbLDdJ+tfNoDO3NhIzfniq/
4ZT3p1SgX6dqcrcWKODY9webTXZe13wvTpMBUJJr8pKRkP/tlEnETAXqnglDJg3DYPPYEAMreOSh
SJPlv5D65B9oH644AH45hDVqYKGvBq3LAwcaNVvlrXjA6BtnLL+B2OvhAsVl0P6Eh4FlisvY3lsZ
3cJzPXP6kWblx0ksJ7zrEfQKDDRCiVcXTwXFU+Gn57BpkpiO3HeOskFosLs6HzYmaxl5uGbyAIRN
wEZi4Y7pL3soJuaiATYtEp5n6TTiy9Fzf4arwPngOYYphrNedxEzwLSampt2tpI3QqVfGQQIJvLM
vkuPc2zOc+Dpgbl1jF3ug86aO0aDly7ZbX+S0TwNdpds+qi4aYPxI+chR000uYzzNiNWlcN57A3J
rS24ENhQuK6aOw/HVLrDhMapR7V9FIkFKEfmKEujU/RxKpP2IFLS1xt/qVt+Jh8WTWaROZ784BsZ
j9UdfXPQAFh22djom6qYFOTKkqWimogClmx/YwvcLYXyon22qPokaRpix4Tf0IcwOWCmPNS9GN4K
S6SnqE1SDVm5V0fkKBbyJRghaHYhBvcmvef3jY8IP95VaQqD93SGjbsSxNmX2YJ4vPIhWdnQbYEm
5dZVZK/189TSe279eg4Ff9jcrBAP7kPSv6jy4IjWM+cqM9qA6TEVFKIX81GXYRAUAcsNdyYfipNO
G2p0/szeaQ5pBsh1b6OYYVGhIUmPJOwdtfXsedqlGEv2yH/WGAPqepwZM0IgM8yHAhcTlvF+TI4H
8U1QBcWlJKlNhzW8r00+H4XTVRQO8Ms2jYZr5IweA9WudYN35Vl4BQO11DeQhIur2TZ8HxR9CTMv
+uV0tKetNemHzEHS1NWCBjo27XrKEWD/Bye2vOQT/imggeUSl45/ifc6Ib1veLHb/1MEpW3HwZ1U
+w87/QovwcRz7f+hVLDESLuUCJxZl65zCIhNz+HwybA+YBA8aEVAJqILPs5JAhqiNw0GV05Dc090
MKQaK0wDN3hwRrnt2MpEYHFYGM5cwLLz3/7h/5/7+x+2T5BO+Cc/72W7xb+sn7hGV2z/Lfj356/8
nfyT4V+sdYMfis4c2q5/WfGAlYgFFNL+KyKVICJCO0Q6/phx/8/+iZD9EyQVcGnj1facS0xF86Bc
VlN4f/mki2Dy49j5OxT4H+yfIErzr48nGQ8KRJdkuAv5gK/0b/Ga0gRLE4TYSnjRmt+ANaMPGH35
um3T8VA5VvqrbC4rdcfUhB/JWpUjzqLR3Ni97t29iCr31VdrSTEqLMUcnVOf8gkg5aGABJ/FzI+o
qr28DOydYMjImhW3qhoctH37AR3UG3cFCQb/HJkxYKvBiPVpVwPjyznKk2XcjIvd7oUXJPLKGQAF
02lm5TO/NRCRkBrNN3sKlHWoPZdNZGsXau6GVsDesWbQpXHoGLj6mYcOtmv7XHD4uTagd5PY5B3r
qnh3qhBzp+tDC8JE3Ktuh8zqeMSaLOezyg2p4AZrAd7o1lU28f2SYaJwlo2n5/V+ipIGekVmkXpo
60sDZrCBruoh8Up88fYqNWQhR1afddmG49siWIgA6tOObgbJ8NyTy4JfunCXV15rL9uZsbuQPsq8
3oMMFx/MkLkm/M6dyPSC1nhXwIUZm0dN92lKTQE2lEzyNyVn2YC8DzCMS9VSUBqLIfipiNSk8TpA
c0JkzD2WQvpruun7yk23eaPG3xSy+Wvq8mXYHI62EDc6QEkssEhBwwDneCMy1KkzYnr6Qi/DrDKi
XXmbuDeBTo0ZU4Qx1GsNeVWA26sGnb4OdgGmTtXsMWC/dYgjLqDxY2Dht/NwzrVDAeYyurapvLPy
4lmCHMLYEcT5vDDtidOpED9HMLZnh6FciANVpRcTZzne6qrLQFqjl+R8vA5FhDsnxmPAMI1wfyX+
EMWyBX4lSc60kgZrSiAaBJhHKdyR5KZ2FO8ssgXUYhi9shkc3WRsrSXYEWmvbfgWMIi3ttTj9Tg5
ZUO11PA9TAEq+XEkU/jlgPJ/d5nh8cyErflCp6wmHJMDmxJG183y7TC6JokH7OWYaRf601iOuM+U
bSXZNst1/8AEpHwjhGJj5qy88uecNGCFM9Q2GsjCzxCICptJdp8WJU0agFyu5eh9mMq8BM9aMcPC
O8FH35qqxhwWjQqjJZGXN3fpS/84VWP62w7LeTk081j7WwhLeXlHSWQDqmMS0m8b0y2HrJ/rKBaJ
5Jb3pcpeE3imOiYAl6gDtjMGOcQA1lewouz9yBfZ43aFZAfjkPEKPP5aBtneKt2ximtXOANDz3m4
1qQBCbRiOrI2fh8NP0jIO28s0FWYSsSKbNN18DpunLDEsCecMqgP5VoW9bmtg8Y9pSkbrE/E4epi
r6vCDeNaGm84VGCpirtltkb7OAeCWK7WK585ZG+pY1cRQbrwwBlRL3mQQjXqyRAdrLBiKNKBTAIS
IPVqzkZkyXOwtLzJ9kqUHg8sS31DIEjinGOm9o5GGXd+Mp1dih954zAxQcWhEjGVMB0woFW/Kx4E
DLHtPEFSUs5Ux3Ip2PVI3nrB9k22uFREUtgX0N0RQfGSh3S+bAAAWaCnrcTtN19j6XBgwEyNm92W
TpT/RomiDM3KCBp/YyCFbJy8dPRh8lf71WHLERjysiu+S22CYT/7QCW2gQNl7Mu1JveHatf0J0uE
nZ8qq5G7smYElZSPZJ/ok237tRkk+RKWpXU7+kDLI6jklm8gqDDOe9lUREw9/fQNUJbur+mM8mDX
dN7w1tRJtWxHV7kLPb0pWwq4RjQbzyvCErumHMqdgw0wfZBLvSPB1TW7GlXrK5oECGE1O2uGS2se
RyzQUJU3TpM7zxcQnY4Zro3ttrKBItGATKo8yMpOoOcKMKx8Wf3Wu5X+cuZySGBzX9IOQ9Ja7BgR
LtEZPVgtzFpvRIpLTDKKHQ7/Nt+Pq51t1ViJgpG6Ffzu4AT6cV4kEBoKWA/LKfGzyNl5s+C8ynEt
YcFCaYUa6WIvCqMJC3tIFzBv0szg9vEyfx6OcDxDoLB6FoQ6pCB51IGKYkDk21slKS3P2ZoM6zHL
SxWdprYbvlFkRrFhzL4+WyJJnjV5IKYFYfhhofdt3Br6Hz7u1D+viZq/vLFNr0aWJl8s2CM2Tk8y
soYj8azccLiZCcz/HvslCkHuNMtxuFTyMQhZ5rKF1/02lrHxgAg74DKZq4lNqxCBDIy3AuZXX6Xm
B8d3gOePRxRXtStm1lyI8HEN/eEt7AVOhiknC4J6rmYgicmMocNqizhxR5uDWJXeIQCMQu+cL9Vp
XZKeFRj2ZfTMyhyfKEdA2mjDAJihHhBFVjuLYTq4qvKe2rFiOXo9oUfuML/ZrLpsLIj+0rajj6mr
M4ZOUZJ9lnpE0m07NFvCA1GLFJfAMYinzjjuhuNo/c3PM6mrxAqjCEvdFLrXSWMXPRz2bB62YaPM
XQZPLQW6JQxNWhrhJsIgOjHyB+vexznpARF7VgaEIIMA5f8dCfyPqub/HQrjsrjtaVC/fg03n92/
QzMuX+//bnL7f2MrmxTUkv89EOMJo2/z+c9b2f78hb+rYvcv3gpBIhYwVSD+ZS2bCP8iRXmplQnS
XypcKtJ/lMWu81fAdIGHlsKZxInLH/2jLJbBX4RRbebzno9i5Yn/aC0bqe9/DeURmXVcR/BwB0JK
NsT9WX/6T20bpj3uymr6jeQcTg9Z4E5k06J5gBo1RHqGIrjiGfaXhc1SFqJEwh6kA7qx+yuJZJV+
JE0yOgdf1Q6aDUT98i0NiI9sNQPXi+mR6bOYHGf8HNlehzG9F1ReTP0IgnhdoEw8Vd7o78V/UXdm
O24jWxb9lf4BFsgIBoeXBloSJaVynocXwllOc57J4PD1vZi+jbZ97y2j3rqBAmpAOZOiyIgT5+y9
drKI9h79mb9J7VzSfnEjnCQTPWAdDJOtusOi16PhRLoDGc5OAyWzXAqsv35O1hOkmELvkmIhwz2x
6ubGoCuORUQYs7Uzm5SAk5hSjco5DQeEaWFtPMbO3JTbqEjY/pmGlt9k2cXs6uhxmqsESeKrB0HR
wsg6MxiO2wnW2QgVcQPWlUGWRkMXw4tOliFIOlfku7oyTBHwQy7CNrJFkNOauBvpBYUbSQHyamCA
jnZTpwfjfmlIgNqnSvvOaUayN+OnSpOHxHLqIHLyhByIMprh4HjwyBAgMF7YdT1F+ht/GrMvgzU9
PsR+5Ri3foPvet+GjA+3wP7Nu5TmibrUSVTMe9l35CiwJ6Jlarqwee3X3guKjw7majzr9mtToKO4
j2GjFxtTqXo5MhbCOZOCHnpVZZLne7qDVrStpyhebgZpNdneY7rJ8aJBXrVZEstPtnZvxSc16p6z
TOm6V5EpG3nnLo1OdmGa8Cn6VNSvCC9iCBFjKG5Hcs6Ig4to3IOaXiLU4DqGOeeD/Md4o6fmqo+Z
PgMC7+x5h2epKQKpEETTO1wT2yRuwZNLnYZhx8y9l6EDPbLT2g5XpfGAxK50Q3eT2zUcNxUyQDwD
hzGBZoXf2ryOSZF+oz7IKS1LO7K+VgrdmtvHSwq1sjImRrCl/cVqPL4keDdjuAfZWXjbHsjhHHTd
wArc8k7FqGswP9M0zcZ3UaWD2FTCZKPq8sVcdkkW1j18s3AQ1wt8DOcUTRY/zE4q3JxUzWXUBU1i
wDbcsKfwXHh6ccJzDKGduW1syuH9JwST6ZlpQbsctXGf271nn3kGheGut7yFfl5R8EPh1sMJs9pp
upkwDhOh/P1V7PsWAdgmTTU/olb4WN6masXXxiAt0hQ1lZwQkWK1IafAziRqA3oyw2SAEOHIV1Hd
qdj3n2hqOkg7E7JArN3iT/Wr12W9uM4zjh/7748rUUKhehmsgS+9MHAMbr8/dFTRBSaLmmb0jtqU
Y0IMApK3wwH/t0075KJ2pNXO/sygazVxdII61Tlj1p/CtJ5ducUZ2N1yTzjOJHDvXgkfyC7UGnLn
WCNFVY6G630yRrisZVh9TddwPCGJyYvXwDzdCYVEDx8wzWcAcJEn1lFS+S0apna3fILiVuvflZuv
DVr7EyeXVitaDiEWmDlmkvQT09B8njRGG0V6XoBeZX6dVkbd2lZ89DWj/Q1mxeqNTh/BUXMC2G7+
hNwNK+9uKMNiR6sMjPUnDU/BxVOfiDxUWOmN/ATnUVbLY4QWETX37MaP+YS0MqapzTeVcNS1Td33
t55Yq0xEnIhm28ilpV+rDk/SANsNobMyuNGfsL/uE/wHQQsI4LzyAGlwzncZLYV4J1ZooEPz8cLy
ar6DFSk4rPLEbsUMzitwkOMCJuK6hyURKYCEoNphE2IkQPa7AgsjSOuBt0IM/bx/zEBSXs1i/mam
gA6978zDT/4hI2lYiLqowmfGFPfD0kZnPSODCwCB+U57w/CKjmRl0IJWzHzU8vWKW6xX8KL+ZDAy
lytPIMpswoNiGI3GRBBcVa/kRhymvLmptRIdlxXuaK6Yx6Gai3tW7CIiONCnPkspjg/mJx2yXkGR
4yczcmyaFpdAhwos/6RKxuwJYp2fpReLb0fx1ls5lN4nknL5xFOCMQi/VDgCjtjvxBuwYVxdnHab
9+STcRliYb5vkCEdzCRqDMYOgsAQhjRMRn07FUEVOUhj8hxTELy9AyvJcFEQMEBrwo5OwvaaY166
y5umVbBFAjIUsG9r4JyRCaeTrRHbR9b0yTFdOZ5FBdGT+QZwz94rbQQj9MRcmBEEIG407ZaMsjzT
X41qsj+cWH8LzaW9hIDC6JNS5HFesaJYMN03w5tGNGhd/d6XI7a5dJ1jtmZIll7kamuX8FzwqzLf
PU8/AaY0BZo7e6WaAkoGcMpxr/4gH7H75qVdc8MK3wCr5t27Ah3S/2lZvXs/oHpDIbTiU6uVpDqU
9lLv2lzkWw5X3m0tZvdL0c7NLZ7e5I4FswiI11yeM2vltXixxWpTkz640ly7les6AEzei67rb0EI
+dsa8fyGLLRqh2Y0wsgRcrjd1q7fdleFiJeHBdMlQ5jMY2GgB13rY0Z30H+tqMggzeWYuoM0s+hj
WbSoIEmner6Mq9B5zbKFl13gDN4sEiM3xg5LtCQ8Dfk3rx9xv6dj3T15LeSXDcuBl2N5BuO+ESGx
L3HSiz1UH7TDAo7pwE7LQ7QpnVK6ewJMJhIeEiN7zhwwvfs+W/S5rUpwFDUC2UPXd3jaGleTlFI1
SPFu54oTVt8XsF/TqDotKBemjZKSE2BuOdh7YstFd7mgzygCfJkDPryJ78B71L7FycYj2ddMN7lb
scxFqfJeRMNFbydTpWpXKLqCx1DQiSGCTSO4pgjKdpXNywXpvqx9lGul8SHcgcgxDBwIa6J8xjOs
DNHsNLGW+3EKowU1vE44c881a7dluPQhzUHQhmo6f7gAQzjAtw3bbth1DfDFu9FlEs14nJlQ4LFv
dpDeLcKkICdbb4N0mQ4McP9INLDt+kD2rmOwB5icactRN3HQLroebrBRkcqCpon8qjqcRX+K1EDu
DMZzmV34qd+9JLNd37Ijo7AlsIxWV0jVkZJSkLBzzW1dfx2Aj+cHE1i7OGQTIJ+9O0m2j5xA2aNM
GU8fUk00BR5Ct97qheAY2BCK9MJOmlSt4I8d6zbnaE8GAnKFGzW6BRzF2KoPg8z88wKJhhcICrxu
N5SjeZzhjvssJolzPodocLYJ062jDKP07jtu3K5t9Y3i6MopUqvhHorGPVmSuOGN6yyMRf3a7yYe
ycQo9kY4MR5C/ndedF5tH0xSsDLYrF1mn1dEAbaBYXqrPRinCk0b6oxXt45Cj0nn2FytAbNqq6fq
1g6JnNyZdHWJcapNio5JAwrZMRs1CaEx7BmsXDbzsuece7CEQaKBVFDEX9oy6u9Rdq6pWV2bXbbW
4HxEFrITfF/zlkyBKcE97RhXGT2kN9+KIHakcc6f57TvMFS3a2ymSa9ThKZAcoF0YHcVqIQSBxto
hxMWJ3EFLnIkJcCDdj1imi7MpWlI7I3oLwyLMrAopJhZlkEZdL+yvHe2NQiaJ0bIEAvIE/VexqKl
Y6zs1d0XJ95TI01GxkvH2rPtHb8+S3UsT5h+PdQwBfr7beuUXGYsK/HkET1w4ZcT93+WvVrTDlL3
wtHKhxhhDvYjvf3q1c5rsqp6P32zE0kxT5TP9FX0VnPrNUgL+cRxaJ8NiEfPSsFoGM+oWWZbNUC5
D4mp6zbj5yEgpkEnLsgleUoj6dEvglGw7PUyVqSWYLwB9WDYxCfqMMR9P1rhN7RoyTmo7umM/d87
s6TXX/hdSb+jMdBy7opYLnI3MHku1+oP5sgi5PIcW+3yNFjzYAeWMyz3rm7dLoh9iP50dJOvQoZV
z9hu8m4IxkK6XOa2tQVC2gXKQsC2rWzdHVsRtfeU36vKiJmxRxbHsWY2kkHqZ97Hjc8ugShWJOfR
Xq5dejoYaL4qp0dEhB/ljJeO7BRiUJmftyadatXDDcECDJfNq+NbO1HpR0uL6duglXFX+Ak6yCn2
7yOAjwHjKbkTLnlJW9KVsKjTH3FvHF7fjxBf/apgMOVLj1Kv3laoTSXZe2MOPbqd3VeAIlLvnM6c
N8Z6/vJGy+HfK3x311r4YFPiqt+vyhzY2zkRvvmkyQuVJYG0WtjlCRXwCvdHNzhzpvRy1+23MJ3o
7GGRuDGpPA6p3z4nEIkeLYNptmixOsHhEcdlVa2A07q2jUa8qHqsl03RjDGe1Y5APoqT9uDMorwR
hmT2wNNOYAPq+YEQrbxjwm7pR3q57sGNKOAbU+6rQunrrhfY6cNO+hew9r9WwCoWZgkxscaLvxTn
Xpmkxx4dl7MNowEPq58I75QQkn3G7vMRj1H01TEafZxjSwYei2oJU9pwLsyUacMOfFRSbXuVAtbt
mdnesUrml4U3ECRZJ+gAc5gqNnu9v1JuoGDtGeQ7LxWcfDz4UYpW2qK0BRSHowvwX0MH7KZIUHbH
ctSX45J/qJ4/pTEpnbWOzM/t1IDGH9L3ZEOzg8Yyig8vrWWQuKR9+nnnLFR4VUviI8J/dYizsr+y
wb3flmGYHdzawt1qRFEedITQITtzY8gaaMGZbPRNTTavj8wX0Rb1ddiByklRBZ7MPsSd35Vflqie
TpQX/THDynGRo28HsuLZ16Lo8iddxJqxBYm87M1s9M9jOjGTUCE2HEv06HQ8Pxn3MkfwR3LQchbW
2DmOUzn67zbiFsgDJlyIWtIjrVFw9+fE8YSEPWOd9INepPpbjhvjyrWoalgnfcTN6OCzw2g487s7
2vl1V9f1cFKO0jeMvniJoKax3AN9b7+aU9xSMGc0c62il2CzOBPCvLLKQ+a603uYlR6tZKoO3t45
qsAYGRxQeIwXgAAtItTNOCXDPbFnBgZKCeMzNlW4RYRejeyIJs5w1Dx20A223jeheLUbnO9lSsxt
UVr9nlik1NlPhvFmTqZ7wL1Q4ixLp3NGCNHZxPmDgBQD796AqGNs015vvMwKz5o55mxg9TSHW1da
j1Pvrsogw1FZ4PRc8+RY1nPtlUziIKZPtKP87AZXc/OmotIhryTrqgcQMA8tHpDrfHLc9oxZDi8O
QZpD+kATtcC97A8mEVsk793AZTLC61lpHFYIQp9KM2+ZApgjyXlRtuynaLQdTivmvGumNL+jHlzt
DBLpCnPy9j1TZftlQGFDx6zRf05jn7U7PNuoseH16SLHGJQiqME2N9qnSTd10BXauGIDbN4HwCg3
jDIbZn+aGY2zjOJScPSvcOq24Rm+i/Gs4pB0W2jiT93cW3Yubsv3JenrecvW659ZcXGegTbaWOTd
HC2ySM+mYYmPZByx/VGsI1NxBu+jHU1SObA4eGrXr3nNjFWAjRzwNiy3LlPIl4asuyOG4K6/mVuA
AFXcv7EdF/fYiXHnZkV+U8zx2cCnPQzGwIvO4HX4sEdnVKcl7ReTCEtCy4OGxDWSnFTz4hX9VZ2K
Iqhofm4nRKcvSVSad0j2USgtmaCBZiavftbVR2Tx9Atd4x4G1gSEHxPQkZrZJ79aGlTbnJPhUY9O
caGHJWNAQBycbEPnzSgSEAnQHi9TvqUeP226652Q4VaMwP+MXk9PLLGYz4bYNu463Jpn1DyKV0He
We4wnGj6RVuM8u0eyIB9Gdq4CKrENeJALD3JYn4nXQQrTMcoAdSQXJmtb72GA5Xd2FVtGAxEeJ/7
lZ7ozdXlmxtjfCEo8BsKxZFQ4Tx5ErkcKKyQove+Sk+TH7eXREU7VwRrPi7MZbdI675iTzIfVNfx
BkErLa9zXBj2OHVPPRiL5MLwyv6ps5Vxakqvf/VwzjLbkVklblLqiOmtVF5EE9YdTGj44UDMMuch
ZAreyJQbX3UBXoaZ50jQerIUNFPdnJ1nF6OLeHBJXtIbUiXRt89rJyi0E7M5xFLTuGwIAyLDqa9M
YwNtz3zEZjvsGh0zmIhibZ8bpcn/wMHeuZntsSBWMyaY2ikTaimy6SK14hdoDyCU0MWO9IymPkei
wlS5iimqCFXKxiRQkzXVxB4Mfrpr+pZlZrJdDl18px7Np7jI9G+UTv+qY67AW1JQomdxnVVp8kPH
HEV1OCKF+QCoP8NMGEwsfUx5s+1MDB3TwSGsdiJs5ys3Q671w2gBChQLZ/kjsH/lhP6vyGrt1iPW
FNJRIKxNF+nMz7/bc3SHO3754lXklya+HA7RbKW7habrLrGa4Yhte7gzwswutulgmPu//vXWP/1+
NDlSrUcP23Nd11yZlT989tEb2ihuEJqoXAMfLCNjXI6uUToSzkmBbyfK6Fj644xn09XGNOwmmPYD
rYJ5PWMPIUDiFLPMwB1aS2I754gQDDAL2oDsSdfeVixi9a4y3YKAoWKMvbu/+xE8l00XQrNc917H
/uXri10VG5NDM3wxrTgOiL906YGStzT/GWIT1A81GmWTzcvnKZrIs3hPQbd2+9alQRuM7UCLiWML
blBSs6bsLByMOT9niokFQsUCYyz+qQbG4gKUGlE8roOL33yEn2myPAWUTpD2mCr5ir/Zv3wLRgz7
dbZsBolWmEHma2Na+UZZCoCTCEdE0JPwmFPtZXxHcelxc6EYrLcew+mTjZGlOCytMemd9fktGA1T
yZu/f5GoNGAp+z6vCdf586MiJfuFGxLZ4DDA1IdQGk51jnOW66L2uO3jMfnwyRDFYpgt3OTPp8Kv
fJ4T0USEaAHuQv+BcCWGsDarxf/Ne/wJxf7xZfIsiK5S8ToJcPQMXX++QubHCy4xCH3CznkGZDbn
3lseNbUOjJk3/EtBdltOZEhsZ5d4NrHAsG7G6VU0O1V8jkEoUsc8r0MGWiJO8j2zsC7ajYpQKmw7
iC3rdB0L0RKI1XbsZ7GGPJGaB9XPIQQBR4i9byigpzXXijxbl7BMBBxVAb+XB+kbR6f0TpqSpisB
YfR2JwiJX+p49MbbkbyyB3/C5byRfV9Xv3vGftbLKXQbq6FCeDgfgJaim/v55jC4iOuQvBuE5rmv
774vqp3oQC5aa0DQFfsCZBcnYR5Dbls7O2fR1C35lQ+UB/4Lqa8W3Y8pozzMGxQV/LPkNSKA1JrP
i6SReCj7sXe8y79+8MS6Bv78tdouL4ANPg7JoaN+ecEJWLIKKDjIdrmS+MpIPE5nQ58sWDEo+6qg
VJUtL7u250zYJglBIIvvRNlJfYaC2Jw7QVk0Ham/JSNaMkhwZx7ZB7L03HRmz95j0EOsy2RXrJFA
A9Mnr4j4MWIiUI4irzT9cee1Q+p9qZ0iW85oHCE+IGpnfvjrD/vzegzr1SEs0nNWcSMY6+9RKz+s
xxD8/hFcU6yZNBwCom225tQUZlGfIIjQ0jArEGP9mmgzf4bb/PUFiJ/XIq6AmwzZU5mIP5Xjf86X
f7iCJZ7UDJMJEwRaLwKJI8umDl482iLfp1LcZtc+80M8mOgqephw8Ro+OVmR+FPFqPy3ea0Seyfo
L5PTl9NuRUdI3mmZso9zgA7DM0OPYRMo37cPashyNEmc14muVAte/A3YDiNQNr3Ww28+3K+3lwm7
BCRrWcqRLjoe5Kk/bndoYCIzdHrgj7qBjQoJCHHbmoNIk8O/5CA8ANS1MBaGYEq+1CYav53rtlkY
mJ4Ht2v0S+wglen41xjP5I48rvReTFM/Mxaz1L0/QI1yhpLXBtNZmQKNFWW7M83RusRM5G7patP5
h3CUEpECFwyPPm9dAH2svcNbRvzuX3/iTxns/748BCVwnDZZEF3gl4Bzf2X05kbl5qrKv/afyZaS
sCqOQRVsxK1GlVBuPbpnes8zVl0CfppAple0jjlWcDLrGxlPv2EG/6JPWC/IE4C9pECh4Ajp/lLx
FLYN6spa2aoj2/lZNdTGfZr6pQvR1gqb3UTg+KNuNAgSoH9hEowKY+KF75dEyKmhxyU/MmtHeBcp
/1sZIxYN0sJ0rlyZSWs/1FnxrU2I8DxXdVNcDrps8ntz9CaOiOuMloWmfhV1px7QXMXWZiYojAP7
+l8NrWrmDaZGRTpHOtG7yPCyfE+QOo9IRfDextQdJ1DVVRnpnVgsCOUhfhiuF5P4CBmoJFu8qDB/
URiXNBxzzhUxP3K0Z9iayDBe/BJ23Cb/HKKKwpbRsXRBFwBgt/YeygXOwgoRaIAJfj3rZGE1BYQH
AY4r3QI8Fv6UVS1giOxixtTw2PkzTW1VcXzbZGlLhq0u/MvcrB1rWwrScgPZF1TgKs+Bc9TcXWwW
1sDE7PNJ+1t6IaJ1+OtXCdCPCqD//LeSov+DQiEezX8vE/qv/P3X2Bz+/39o560/TKoFi1QGWwJX
XwVH37Xzlv8HAHOLddUn8U9aDsvv/4iExB/OKoE0BfszyqK1wPqHSEj6f7AlgDAx11QdC63Q30nN
WQu1n5YEWhesrNSZAhONEL8sgs3QkBLFXrkNU6BMtMxytjidGkGV16Ri/HBT/sUBR/xSlfHCQ733
EUQjVuVW8N7/vOY2qoBBPGfxtm8r+2Uh9PDddJuYdmE3VJcecFLGSbQm2w3kyvG9kwVk5zwS+mpO
Z/xXBWzlZYMDMb2ewpleXsTY1t/5Q53e2oPtWLsYKAroJ+kX553dU2xRfI1nGnNyuU18BHS0jEzv
JQujVa84h+i+NXrhGR6UhQzCFRDaFJtYTf8klbcEWFc3/lhorqVBOBxliatRw+Q25hvbS1440ERn
0FiNVUEKJGDb2euJGVtxrdYetPC3fRaKNx+wBRGlDPufOh/519bkdcwxdBYTnW5lGOZ2MXrJWdhZ
heteVuurqM2rZ2Y+xXk11ukdliTIBqmcCeZjJ63JWBsbQgpMbQuDhmbT3GjtiiiwiPzRH2CwGifo
raV/iyqoWXEY0+CcofW9eB3nGmyIuXDoZ4sRYg1hy0/sTORRgujVzHWyaL51s74scPMKwlS92mhe
BVPk58SH0LwzFW3u1RKMjixiEDNvJUD6N9tMupWybHnPKA8mCQOmL96LYqb9WWGiZ7lqug7eNJso
eJbIt25HA3Ph0e4VfFh3sYZbrJMM1xrk3j0mxsTDIo50zQT55gyryar1znlqaxqw7ew/QPCJgUgX
iHHJSa0ZzuBZc95iBptiU6AS/mKAAwFnsaQyCpxsjtt9yeT5Zh57/Z6242BD+F9QNlXJMCnU351u
Nmvax6NNwuICRXTy9hr3fXzoo5GZZDWO82NfExPD57cBwzgYL6412LcFrGiBchoJrtopEKT70qms
iYhRu/1IarMqwZr04y4To5tfeFBd/C0iGOdrlCJc3cz5bD6UkegwiMdtS9Owxk15tEz8ekz+6cnZ
o8pgsc6xAAHSM2pGWeaOb8h6YVOHk4OIpa1amplR4yYYQoZZqE1ojz6JwHNn52eOjVOMlpAw3j0w
juhDDKPr16cuVJsOmAnfbBym/Q6wQyep5PK6Ar1FyqtsFYsDkJC43FtyItgXwJWYtqGLTX/TUbW9
e3CHs23TZNhaagX4E6O4bFDGGkknNmbNMGsDvBzUu+k745qnXkO19HLeZi7jQclpbI5OEnfEInBy
QSBnoEXZ0qn0wW0WOQhi4Y/DQwfB39+wdLUVPhcvu3RVRV88Qy4C0wNDIDwR1XxdJJ1BPAFMIyHu
Ym4POOf3lO0expwRXoQbxN6Yv42INoCkQDsBip+gtw/sJZIfo1RFD6x4tc9PdUueFvKLRJ18uB4P
cU7cVSCmsi33+HL6P0k/JYV80IUpLzEWZM22mjT4rBy7NyOQbiFayHZy521Z26w7mbbiuqfL9OQm
nflQ4wS9i/w467ZmmzNC9nNlBUvjMWRXmXSL3d/fof/t9vvTJv3/TdFL0+6HXemfnG43Xz665D82
X5jo/ijr/fxT3zdsUukwO3LiYdvGROyb/LzvG7b8Y+0mKNMUa2+Q/gy76f+Y3eQfNA1NdjdpK1pn
P5rdzD/wpLHFM2+1PMlW+3c27M8d+Ycd26Q7hwEPD6ZwTH7cmqf347EFMWA3zQjyN13dgLzoFF7b
nnEE/qsQfQFLNiqozO76oHPj+JDaZloEhgtFS9HZRJ4+kTVJ3ujJc0L/dcF7+cxoNyeitcdesieQ
igUmqv3wgSS1lmmPqbfl7M77H+76v6gFfjl9rR9DcTOUvx69pBC/9GdMG8aJRHi28VJ2pVquylIz
Apguoz4kiaVo7lAyxUc4zgioFsBmf/375foLfrmP6xFIkJKFQpDYwp/v4+qOKtqR+I0uzNOLNoUK
SwoosR893RgghpLxaRfp8ETL3Di6Qzbv4ghlphN1Z8CBWNmg3Eh/OXKV3fWis+Za+FN3GNsGKKzX
4fqxCY0KaOam9OmQJDPtNLYJ/ZjXdOgW+xI0U+rgfmKqpMY+PH2/1cWif/NR1wrz149KielxwFIE
hwp7LQJ/OMaXkWtqioFwMyRZfQfTzb/qkP90+2WpfWcfV8t0NXo+ob8Z1nscGjV7NvHLoWQc78fP
vh7zLy6jFVRSk/RZvjFE5Ug21bDCL9OUJ+6vvx3L/KUw5flwPJKusEAyj2Fyxkv44zWP0tY5cz9J
i6rJryxr+uizekGKJW2YAZk+LwB2nHp/4sht06YuRqhTUa/e50IX1+hWyhyeNGZGa4pJsuAsVF8l
8IjObRRmj/Qz4NZ3iMiCiinpzMm7aIDVwszLU388YWYa9hLlxw0E+n0alvaBr7EBcdI7oKE6xOtJ
1rxnU99eWr5snzMh52+V9I27xiryk5v4wz4Ma3FVG53B3MA2ApdxEHjgrDuvp8699ubSY945lvcu
OvGvqOQe28xbnpBQl88Vgu0nw83hG+Ep2zhR3pwnUecHIXaZG0Lvif8BgQHEJiumU7GkzlU9191l
hez2uoWZtA4Q5bNsRXihrAWlkJ/duXrproDyoBgnQ7vek4Q33ktp0H6AtHTWTKoowV0sKyNvHi/p
5F7gqerPAI0lV1PaXevc31M+LugbQaQNJkfnJhaM5vBspph1IkRCgkRZYk1urWQeS8pb7RymCdMi
ZW56GeHW2oGqpED3K95tB5EPTMgqY9pbP3v0sPba0f1N43ZZkJnDCUi6Bc+vqILfPF+/Lj8WchDX
kathmUY2Z6yfH68a6OFUqZk61NPkrThTTRgCoR/Iieq6/Tagrj6uTc4d4djz9WhmMEEc97knbAh1
b6Zb2tY01q2dZWsCe2RU5hu/So56ffsF/LndjP3jd33b1cf845rFVTsc/pmNOgwJcJ38fNWlp6Xr
gujdFrVh7hA/eBt/XJC7USAB9Vke3SLRH1aox0OOwyIwo7nb+XkSvv717ft1QVmvA2cLkl+oZwyr
flk7J2kgoXEFdSQD7O+JJqnbQKNFn74XWKce7Nr6XcLUPy1jWGwIi8XOYiLRdKGe/fzpTcuJhDEQ
O1DMItZBrMfmxXbb6M8hQ/a4ccDIgPwgjuwxyypMHaYqsHQDYghfIUrZmz727ddm6LoLw2d6U9Md
PHeaaZcxqlx+s4A5zj99V/TY1+2N/iknbPPX3lY7upxjjdZZJYHgbQb3mot/j9FHUqgKNzz4sYeS
v2GaiqOZQFbtnOtYEO835UhAqV+srVGKL7VtVzcqydurDM1s4LQC5D+Qt91oh+17KY0jndfkpHXf
kuNSPssZUIVtNQS9ll147ziiOIPIaB7c3H5EADMi7F/hXvaK+Qqj2rtHJ4DKc4WAdWDYgA/1LvAh
k3/ZipUVZnUGFK4ov5g+OWI2lPVpRmCA+WN47oSEhIM08kZZwA/bgYytTbQCyTBHxG+Jzxy1Aihw
QMXcIr2Jwj0RHZyqIq9SsLMb576D+nM0UMUdsqKLNipx2sA3S3bmJrZfVTwq5K35SlZMLRh8FUmA
m6ZaFSxzNl6UjOg5HDjdqR1Fe6NW4BrIYdBrEUZ5ljMyLGoRhTsyaZdTEQ8TdMtauDtkLhNpF428
jJW4rbp0PNRC1i9O2FR0A4gHU92Q3BipFKeI6U+QUvydofkI8Sdrju6VYLoExunUAQ84MfbRh0IS
zlNwaGPNhigP5mys8P3VnE+Oq1vrvWscK+gjB0vgCpEL1CeZbpB1cihrOeJZlbgJbKM7Tp03B94n
ya5coXbWirfrJQ1jc0nPCloOV5ypnR19wolgIQ9Oa9LvC6wZYsXlSbh5UAyMjWh9wak0ufRmKsWm
EFDmV9hebqjqwl66/pAxfnsv2G0OpQOmfQOIHfXrFNXVjgMU37OqvMveax+XOQ8vuwqwHxYWbLhZ
mV+6Gu1iaNXq0LnmjdkZb3GXTHdzixTagLY7bmqtIbo0uRN0YdryyIsDfvF616XhS7SyBYGoe9c5
fq3NSC30GDaz9UQZLc7QDcpzM8rOpFy8gzXHGMsRoD4wujO2UV7Xd/08Zedgc+YtrtXnkiiMLbzT
8aZ16hmqgZGcjNIDfVhQzuaVdwhzPW7rNSxhtSPgGdADpOlYe7D/V4ZiutIUMRH1b3yH4z1hPW+Q
2xNCaiZBcyVRF6roqhPbnPvSZJimU/JC9g5CcBBu0Mkk6MZ5ZTgW1UAcGSM87W7SMhenZSU9kvQe
bp0UlUbbxB8VcxsMC4Wb7KeMPlStrYewnBMmWUtzOZhUp/tWVMZtzwuDn2rJ3ssquqQ9TTCh3VZ/
UothCgP5UO0Hz/FOmLvFnR2vcQ4MqJ7IgL1P68g+YYGGXZDLwlrFZ2GwJBWwS1HH/a4Y1HzM+QKu
ODXjhmLRfzacvjhWrD2PXr5Aku9E9UKpGgfg0eeLTkaIz0iBd9MDYYLYEcYVu0koAghO1bgp3fzU
EngXVkin0TvOPsNy/9EiGyx2fVygbVjBnkkF4pPWHoFmw9y8G1Pzp4uMBTOK8LaGO8/bfIWFWvSh
zt1PiCj98+tOALFyV8So5xJTB3O04o3fp053YGv099EaIYGy7EbkQ4G0cAIniEz+MBAS+0UnzrGi
37U16wmAQu5n7pPLkBjQz8o/pT5Kxic0v40k9QO4k0LR3ewR6/fX8H2iP+esGgL8nohJsd3B0ij1
chiihnga1RGXUPfh0U+RrK2lwFUcOyZvXjYaVyMDgPuYbEqWhZrZI0FiBvW1SVAM+mkcUiksX6tH
euHN0/s8RN55U1flpZEAhCUi1EuDXk/5V1JAyIJpl+LZKyN80K0DxRK+yH0ML0EyLQzCzvC++Noe
L1MHpBIvtHWVIRYPRtfnm9HKNZwdGt7SOekJ4mWUoWHeRqUCS5rYUxsewJhl+CNghbzODbTm3eyM
7cliHUu3DEUN3oD13a/rusNFkUxHMzSL6wSrVBrUygr9QIcS8iZpU2J6TBzF6c4si343qQFceC9N
6+s4LJV1jSob/t/nb0qRB15GUkY2bFleg9nzolPRzKbCg2nR3mMbGcVtm2Cg+zr45JFVXPGVrkKC
qhn4gq2InP8m7syW48bZNH1Dww7uy2lmKpWSLMmSLcv2CcNLiSDBDSRBgrz6fqD0dJdVPa6Yk5n4
I0q/cyMJgsC3vIsLgbWFSqh51i4giqCMvkVswLDiysu+1eb90q5jukflvLysYLjdJTCiDoijBldV
xOKLvARCWQugo/dtgpj6HlyLANrYox9xHAcTBkfg58rqrRKj3FAurJmvSEtfECAi+lq2JaTWNH3H
Pp594uC1enQlPgjfczSPgvdhrOichgQjkijY63FmQDl13Bcws6g+imb6OffousTYogCTK4fT66nC
68IJZZjKy9VfvI+92wynqK29O1SmkPAaCu8Om4Vll3lsxiRvqClDjgkQBdjSd5CXRnyg7NWXZsku
mlCuj0OGGvgu9bvuqds2Wkh+YeWjAhBr7ydU3C6dKYnnR4OC4Z3YOkg8hJPhtwr8Op4GMNaoLDpR
7h0rEkrw6mC1Lsfc/hBdUqsWPGTvogi4xBYE9ReIWZwHgh/ITbpD/wWJjwmEI/yeR7/PqIp7dWFJ
UxCeTm2Hf5pGlC7YjzCAm/0IzGKiSJkgmkNLlHZZVXXOns45ouEDGZGunaW4WJEMO6EVHN13xIm0
nb2Mfhy67N1NbVyLbKMa+ykDH3yK4KaB3hj88WcI5+PTuq1C0YwFkEVEYaJvNXKCz142I8RH7db0
R/S45vcVJZEXIBrVbZh1iEr6RbKDmcYEFeaAvsc1OiBqwNw6yt632eaAREiiw5KES3cB16c+ok8m
LsZ5XTEqbB/wNQm/UePzbxHov1qcFg3abWwt3VdcI1K23Ak4VFCtZ7RBapPkH4NaDuYirKIfADG9
wLp/FdcYeawnICfyPgmq/kHXfni7Ze506OqW703BcL3UGKEuWWYztTHLDtCfumMKdfa7N6qa1adf
upNCjwbZ6BUNjrysf45JfmD7uJQgpap3AZ4BFxGiMie6W+1Lu+Jp1uQTVUuBlCUsgjjYdvGEUe2x
Vb3+sk108ScQ3vQvO48dJJdltCvhLfswqtr1clBYF9PtYeIl/TjskS2rwXbitckOGpQ3gAKXPRL7
3lVVh1nLoukNjLYHxBLxHS8/uaZNbuTomL9COGiHsPYxnwlcc+2hh/FYhYMf70cy/1NHJfc2lDzZ
6IWunyA6PRNjfkhE8TAIZI8d1Q8344oofq2nRxp4NEcDeNVYUn0vugCIe4JJh2DG3/eGQGqNGufB
WbCVMmk5gIVwHsTiZvsMeYY9sGSIw0GuOZaVzfEjc19MM0YCXdXdj81mTlQR0q+BaP33zZRhwrfI
ACeKlLbA0HgXKNRSmEai6HasZX4XGw16XajqCRWn575zwTEh1HMXtPqbM+fdJ4wnSno3Ao+asirL
Q01/5ZTl4yeMZOIv0HttOwp9+KEMy8O2pbC7smnAxDJecM8d0vASCdfjliJ66lXTBG6Ldg4NhJQS
oRckl4B/Q+5+8LNso6fMX2+RYEJaEUT0/yo7oN9Vim92NKZ3JC845AFDvyASfWoJO8vVvXclmNvW
kLEF3vB9jKfHVEc/fOk9I12BJpDbP6Jx9EE6SPyBA6O3hn+D+/Saq/4/60X/Vgy//Ku7+9b8Nb5t
a///bFjjbdf+1U6/VbPdyMpK/J8b1hd66Ppv/8NXziXwOP4PoqUQHKjnuzzTFip6LoE7fvgfQOrJ
aGm/0LEGo/RfNfDEQ/QCZ4sMUQtq4SA3/rtpHf5H5lMxB7gF3IxWs/9/UwPnV38rhESYwlMCsGBV
9lk3DKM3BYi6yDuYz14COb5LBu/ODG5f9Pe1ppi0HrxIa9eKpHUVWlSUUVJw4AhBbfTF2sCbJyqh
iS/ZIpNiAP+Gmw8Eqf1oWT+P7po2GwBrNPI/dfCWqxe32MrtU9TJgR7Tr+/zQCfzozcObXy3Uh5d
4K2V5SS/leXswZBr4oH3Szhu/EoNsQiFxsblDdwS+eFoGICUrc6m5DdE4eqlQ8E08MzNhrFQai5M
a4b4LqcTyyHP/wCPXRW4KcvNnkYVQj++0X25Ek7qPoAIt+O79jJ0hyLzyxmKh0hFz6dRe+NAjae3
9RQoHc8vCMmzlQp31Wt35U0bxWC0PykN7vxqtRS/CfUjpG+gKEHBhxoX+/Nj+3pRbhrVHGbTMaMy
zGNm5ksuDoaeR6Qgv8FD7aoXPaZcwYatFScNMiKaH3MdAS2sTT6PdGMVkq4eCEla9y9VU9hBgx3G
x0ZfMOg+6B7MxNxI5zikhPjQ8qWqioTpDudryzRogheHbal6QcvalrP1FI/HSgXA0nYI9PFjWT5z
BypIW/JbJFh9X8KsksyRtWj4LO6kNT/YYz26LQjv5XZsF6fB5m3nl03vu7sk2BIil5ZEnTOgFmZ4
T/n9ktJfBEmVXrh5xYCfZ4kOUetiLpwvssqLSaNGnUKk9q/awnXq+8KdwEiusXSzjx34yx7fyJKz
A6gGghJ2esv/F15l5zGEdkYi9uwNwSbMgcTpAwzjBEY3A38NrizDxjaRPMuYkk84by074fguZ3r+
PU8189jsNUxROrtNkHTx3a8PtEtgrz1KsrpKjxIEwhigv/k6S0MEonis8BNBrOlwvqOVcXtJlroE
GrjuYFpunHid4FNTCS46aAJON5lBXVFG79UmP6laquIWIfM1n4/wk+yjd74xQ6F1FVxXAbl8h6sv
ThvdDQTYivvQ0d/mD9YFTARsQPA0xXsa3yEPiT+8uH42aI1S8ZY97y8Ki1K5O1/a+bddN3cYiGDe
FISK8/A5SBb2eJjX4SB+Qkzi6UwQmuZXEmdgUxsdLF9xO4xmVHOoG43wPybE15qCM+m9cFH9cepF
BZ3vbwvv/9AI8+xa9d9FXcgGNDd8HhpqqkDzouxNKRq0SL5UAh6d6BeqN4wUyLSz7Iax9jA0XTgZ
88RMnhEUqVYoHNd40/S844SSJcsbMprJWsFL8H69lEGhokL251P9vex7PlOwOwEKmwlLfPymJ9O1
vcwb5XjkRfYcFQ1I9MLKAODjTokGcLeqgyCEM6TtqP354PbHfxsmDpggmOSijICqaPBmyW/N1mMC
QAkD8QNEVrYFzDUVyxkW9c5r/cI8rVEOlvvPR3270XDRaZiwnSUukPzMs3yRv7XOEFXJMQywZnLM
TCxZf92RVKmV4TfjuvLinw/5yvP47UoBaENfAKlpBVfZR38/ppRxWqNuAhIAc66YjiMsQB9VZpTZ
XjI/T/KbOMsmjeb9HCYUfOcynUhVKhhGzbvSM/Cyin5KWUm9EpDgMFbMkaRQ9lSHxQH2ugds2GPY
8y8n7r+9RZHlLCCOaPuqGZ27308crraEA4XLUzZLJ/oscT/Ib7QoOOMU/IR/n5DXYdJbNBXYyrTL
s8BFcaSQPr5oS99+jOJ2Q6amx7gv+hdyzZu+OfcxpisfZsyhMACH9oos//udnNFRiSts+5pNWfmb
RhagXXYJ+lP4MRSy5fzCymWo0Fsp6xCVOSiJH8qoAZnqOQViOk2MYerTxl43PyLHwo6Xid4d7xwd
c6F9b9bxTiUAPVq8mDue0gHv7fpCji393csSODXvIFXLs/Pnkf/HEgJfCMkHalhuCGQbhMFvsxSt
FK8QFW0G5CUQ6RoLryofXNb3/N9u8e9dDTuKABnRoQPJQAPtH7e4diZsIWpqbHpOGYUaTUI6DdIv
HeSvwUz46nuRTowSRpTZ8rT2S8wbaUi97DmTUpQPsCYH8/XP1/+PtYFOsZvg32VxjG789okpR+T8
KkCt+wBnde+pz5QzvYiMUOMKOcyiv03A88T3fz7oW74UOA+r3xaFfgDLhH71m+Uw6ralSAbH6ufw
xN7h/uJupwXTOOBCC6DuDz1USmiFIToFpwDGy/i+cNuODCtfoTRf1Alg5gvcZcL1ZcOaUcA3iMc4
OszGt9tgGVSl8yFHnqu+k1GZYkJGvCn+5TJ+74RyR5PQR5cl9Rk4UP6pfaj/9lwg/8DxN5yHaU3V
20fgXd0wHBYcoLYThcRZxft0RurhDpGmJfoyJ0ux0UeYQMb/W1P27eSyvBQfybokgHLASb2Zxm5S
r3lTbvV+aGo/onMG7H9+tKg/5wMlBmoBu6zMWRqqpWXnoTgpME7sXOaT4zcQERD2leLw59v8dm7Z
k4oDO+GBqP9zUSu6FXGkROHMnOJCArJz9jc2Hi8HRAMGbViZ2YMfDKwlfz7wWwxEBMwHrI+bATny
wPz8Yzy0TBRkF/RnXXiJRXSP8zrmxdAAY0kJDHl0XCpse8VM6uQsDTUeiBbIV10PKJyM7UWJWJ5E
uT8aCEIxBJ5hZ2ZlNaF338gICOge0WW9vfdqBG0S5JnnwPuIW67S9U6mmXAfljJZgo8UrlDDIYlf
u/WyB6QWfZH+hpHuoSFNTC8jF/uM04Lhg/+URDms/D0wczfDMMI3zXddh2t8vyq/QPMA87YVQluA
sHSJe7NqoIogf7rJGl8Sl1ppdyUMzhSIJ+O27b7LVT5iZrMKN1IXFJCpFB6QTHUEq0qJYiZCu/gm
OcNlOmGdiqrzEizDbRpXIj8mMVrTEmWfOC8/DjjIi79AsmZRdmhcocOMYkUnk5uBD2APja+Imm+I
0qR6YTPQXnQqMBuRh82Ywf8RSxFn3xODINGtTAdF8coURb/9GMLVyRFAwuHNargMFD+QIm8lcgsd
UtJfQbKUxec+B8xy72TLnGkaPEG84DGFqFru732kWvOfrWzWCSiw1lN06bdUWmoYfCM3bTfju+Be
9lPW2MJ1YMlhcDWbEuES6NIp4g5+qmf8Te1euxsG7STPuAkIB8xnQ78k17ULBmRzGPzv2YKKxRcN
XqmiZ+cL2uR7WJMgXWmqjiQ9uxgLFbfD6X6LzUdVYPWAw3kbU2W/ZLPsV4Su/cUvo2PtT1FeXaYj
ugANgOYkGP5lYwvewLQiYi/ohSGIaFDjvhWz/H15YoBEgdEXWTBczOhz74TkrUZUsbwdS7B7lxXw
XxZLhT9GfqwAnrOb15Ebqwm2Tp+yL2++QW5JFk0PeZYy7mnDyAtUzTq5MngAgm+l+dwJ5Xdx9Hpc
wsxhGNpgO/lLm3ZP0ALr5UdTZg0g0SDFd+8CsxqDHWYx0nO5yqFpjXcZcYx5kqmJx/Qw96TXN3PV
hLTdE/Q3UJbGbcwgLQ8ZAGkkvQVkrYu/JV5/7a4GCkuMV1GLiEiHVs9j5NPveQxWbthwrBC8aMfL
Bl4heTf9ZIszBiC6xXcmxDWyogvN49jtWzN53ntWhS4BEF3qHn1AkMJteKNjukQv29ahab3XIYrf
t2fhw3EtDE3tqSzWArHiLlnzazUKAh9dISPySOUzDq/QcNA2D1G2z9ZG0oGQ37SmQDRHhbR80I0D
JzxfI0ifCx5+t8QnlP4wNm2fUOECQrJTaEEE4QGTXdbpvtBL+Y7GZY4vTpDHHnFRQ2uKp34GScEI
opoNhXifG2cyX5sZIau7egs6czOCRUbCgFCv5a5Xkw7nR3rTjFleCkhLaIzVIvqMlgPp+mUpBiLg
Hqyh+Zq9KhniwIew4L6fKrxHD12UTWuPDnlucCfsobvG17+0EtGzqVngc68w+dFs4DEEUsQCAluW
FzOjnajRCjDGzUQu6VP4UnT3fb90j0FhJHtVydqIpzNWRsIJEQDrl77+yLo4JE+YefPk7bLZ75Pq
VJtqZbtD+iaLPgPPVtXLRvuVl1iQofFXa4qp8Q7fx9l8TZTCFusvijB1+eD3LYKSheg5hWCLSX/G
XtvpVhLfz8P9OT4tUAaXz1NFwfwDy/CImLspS5jYRmxheJodoHTHeBYEjU28EtAW5RyXSMKgls9V
06OZ5LOCLwdpDbk/Zu7m5El8TfWBKeKEaIjf5XOGTiT1dT/CwRJvw/5qrsBB380S5vcVPlqB+g6f
k1PYMrUyfiqJiVXlmJoRV3RmNR6gm6e+n5M532xlidGejayxMyD69uklhifTtE79U7idcT5AOyAl
Kijh8Mw3YDlpavpoHeBg4NI3epHTSOsXoY1WrvuEHgrpBhVzlycmQdks+gx0J6F+AgeD3JV8zMay
0+sM3QYW04+xN/UpYEDWhostR9Y9QHWx7pHzF5qVZXl9RJq6mOVzGowdy0jsjjZI8IKJpcmp4Shf
FeQi82NHj6alzF02041JXEyAd+xsagUAEFqtzyyJbBp9To0mbL4qNqGCK2KPIn/CQYgoB9N428tm
J6tAPCAKBJsyWoiOZM8OdkkQac8BybSEKyVDDGxTbwMM9L2n14eOErc7PK1UfdX3fKQr8RK45QCo
tatGvuj43say2YYBPxlsvPpiFBCRu64THJcmgOVKzz6XW6aSebJ2NTqheq0pT4jFj5h+9crZwo71
yma/Bt1Q3Z5FUQddvuZL+aa+Q+ydWU7acHRUd0HXH1HSxgqZPnjQg2q1n32vWq/OkwzVMcxIL7dK
+vGlv7hhdxfGyGmhcDY3PqJWsR4xRifQkbfd6+4g2Yn018ClGPxAjsmjkQc9K9pitnr+UvoqkCA7
oimodm0/zM5ju+LChWfuUvr+tPd1VPDgk1HAlHP81j6a9C5QiqTI2HmPCoF871OJNhSI2mEoB0T3
Z0el70k9kVumGrtW3gcUPJW8DNbFJJeyD6mQ7bBSb+Rx7NDUevBzBvNEBGmDWr8oGeRtAPp30jAF
Ubcr8nW5S7Qv1HMICBJbt7VnlpQC3wCK0PTGYDagUTgyjvAsKo+p07pm+AxnKGMZ/VUXwUenfKhG
j+k9I0rvfAD3bhB4RZFlUQXN4LQP+kM5roiCgGngEQ0c4yxPwyqynGJ0XMSfz1ofuA4P+puEc9+8
F7GKC9gMa8cjj3srUXiflzazJ3fQ8hkGPQeMRGCHTi+bL29xCmPZyDfqhM8YCfQ6va2SSmqEZxEm
pJYEjAERfsdRpN0ASHz7XE5RQXjMAqqFtZKi5CUvPOHI5H0ETopO/sSqLXBpDOwwgGASDGaPOGy7
W9AuSK7+HJC/rQURhqSuFZfgfwmA/rf5XkIEkU4II2eZQ8H2VwVZBBRszxX0Px/uH4lHlhBsgtsh
/IcBHrypplCf7lHvDEviNsPTZ8yIEOO+e92cXW+zJYq4LHkK/3zYt0W+BKwALRqOars71J9+D7gK
BOmxKnXYnBYBRA455MXe2Wj0uE2zidghw6LI2aNLhFmo1vz58Dae+3vxC24yVQLWJyjB1Ate48G/
p6OVyZwsgEl+7sacewZUknJq338+0tvxTbAfolUFN5N6FcZBbyLL0tD7SgjId04H9a/YNwJwZLaj
amKvF6Dc3H2Z4r73/7Xg+6qk8reLtEg/El3qiYS1ED/fFsow2sD60/QvmJUQWOypL24R+b4aewI3
YQK9Okc9tHCGdiFsI5SMnG1asQSJUhmjXlQjyDiNt2Prbd2XABGS9Bl0/ghOMmlB29U3Y4CaywRO
pZ6y9TIN8z6Yr5MlomMTmtWfAfAo9BXUfmG9NQ+xm/JfSd5HTOVMhEvjxWaGKkQNFhlruI45usG3
9RbNSX7MWvQ+FzLESBlau63XhQCvSlxM0GSnrLkVT4kBHjzuwHyoqITmnw20qVBIjHRH2iTmiSpH
kTekNLetn0B7PwxhYLj4OgeJA3Iwl5oMj1Z2lS7HEmw7oYf0NqsfCgpT5qgedBIe6IUb18SI9yIW
1vmlSUSzfgO+PnkfUt5HfOr8aA60WISA5khJK/nqSOppz5s2ogwvkBpk5b1J59g4xTUV3wofQto8
YgIXPiR6fqkm+hwRdAdr03GzAT5AD7ETa4SeGr3TMf4w+UAxI5pKrG33fSf93r/YCo/i0GFFdDhr
9n2aqSWh8w7noduhuBFv3oUTlQ3MNnQ4I6QEjB8aiVFHtgqOVi8qAgDIZMyzB+0WSaf2pKNqjW42
BpIpOsE/5YNAvFJVHfsiqid5qjTAkmHvy4g9HgHVIUZKv6qC1rnwTdGOHzM/AOp7KFo1QIZNOgpk
KdiMXBbVMZ9F2FYHTARrJHCW3q9RcICe5pLMFvBr13q3IkkkfauKKcHpb5UQH00bZN1np1VhzrWg
Igbwv0LAVrgXIh5ySAWo5U2tOLJ7zAIDWy0jJFKcvkd14bj2CHupCyDJdvIJrRNKANT4V1Z+x1lL
Ge+zlQ0MtjvJDkJa0YKKHs5WoWOYTKAR1fSIKnQV0dTLy5gnGVncMRmvI1W5bJZNyg0d9p1sMu87
S9ZiPlPoqBTNtgIibHhBgtZu9zNxZQTlFUrjZE7dipFrfsDaB3R3t/eQFXHjU+oPRfaVasBci12q
Uf7rT8zMsfawAF1WVBQhboD/vFypSQTqJPRYVcON3wWTLo9Bg4YudFKH4kH1yAY38T25WHv5C6o8
63IoK5WAI8kJ6eJrTY9vwt5ydJq42BtIgO2dEuviye+E54bpdr7JKwvqdDWAlWViiZI85CujLKaf
C53iskO9gG0Sqm0WMm/2IO+0bXMNpmS4x5H1CTRn6IDfvEw2x0Vfrsqc+nuuW/rUsegx6b0MMW9B
F6yiHeU0FyEnQYNxLla6AVcAfW2xMkZ+WWH4MjpL/2WB2tQHj/gtJ/y6LDB9IDlMDfitYceqtjBf
2Qg6s11CzlCze4fIUYoomMLJhW8kyHAQiGbFbL+/EdzyXCRdknISWK9KIw5kPEzwJaftalHTW8MR
ymmyJwatp2JNkzYd8uog4ZewaESr89rzNvuD53OFH2z7pLGOF03uHLV6+TypnKsAMWYf0o1bxKdz
aJz8iSJZMBSbcmyYG+hufnI7p8jeew2hvTxFtHS3T/OAAfinsgUFBgq31tI8dBHmFreTW3imvyDX
1eP03iQezNgdpEHbqBSxQ3+BmqpwOexAWmQezuPfGZEV/imrM+JBeO8Z7Jx9usUblhfnX3eRIrHn
GvJqRxGhcaYr1p/Q/uP1llROaq8535bUfXYgAJymti0ZwQXwpGXOIvKy4JzsNgiNljR+OfGAbr76
PrRYDke71Zm7ZjvAoyA/3vUEtkw9p2pBPu+SreWD58jxHA8152ULBULK4M7scpNgAJYwXgu0bblX
KNXZOzL0VOegDeUAGj6RUUjeOo9tiVmZeZhr3/bbqVnbWyFZu1BdPrf5KfHjAXuj09m+pdDi47tr
iHwgDhnnz0/4eZoHkLJsaxTjgAAALbYXg6ES05p2jsNUImxUXIvM59V+taGc5LLvYRjYALB+XVzH
LM2nqwz4Oj90XpgVDAC+PPWD/VYgcjse54uXwLAZ618Dh44XHf1IYiMgT2C1CYPPV7giNMTtRK+I
E6ud0o71+SmCCBfx281U2+M5g91UpvPDiW9KZC/39ZrQZTFsDiXBlEQ2wQHQecnWZ3epuM4ahg/Z
k6q5rVWuwhS9Zn9x/sJCC3ned0gaoZ1Kupv6HOq8PQqU5W0Hf0zdiaW+0FU0n2A1gcm7jcO2UE9e
1XjwGQgl5mY9MI0F2peuNFjAqD6kVXaM1lFRFyKYQsthhzXbqP1bp9Xs/VeRO071cyBTRKZ251nR
zBWFlQz9SXJcEysi+BznrPlRJ3k2zcex7W0vcIodNt9Lt1GEOjBc8+WJQkAmHLykQAF88eF8Exb3
9Uq2umZzOvzE1KbFOwxhbZ5/qDkSO9duQvR1P05M4q+ui7Tjc5EVDfPmXAbrpUcqw+pM2o2oQjbJ
j4BEbP0s3cAPGdDFMyBmoG+dTUxYK9LefZROgUIYJChqZCfrDEK64ytlG+8RMqLc4rme7KKBCzoJ
kcFRkc7Br+IkftQpI1ONPWVN5LcbGrqImpeE3K3CkO3zubefmYiv+pqyFW6W/WCGb+GAzQI2va9i
RfTC7YHAVtqeAPBbTqXH3MDWZSbgEf02ELGj8mXPCm2KoP8crWWcf5Cxr3mJ7Z8+3SIHbec+MTnX
0MtZUDEBMZLajCvIHa4Zd5qZ+wEJCWzBRU201SEKZJfLJdM85U4ISAc+lhz8CvXPFZlAYhiUvr+Y
TCfBKW7xIHzIUyozmEmIFsSC2uaVyt+57ENGYmFFeZRQv0CsYSr543WLy0Fr5izVNVJNPk7xw56d
wsSjfKHP7Lr3RbpNXYnNxID+PxkLAF8L2oBBmF24zmbLi7NqZ//eE6XP4ZFC4XavosE0eR+MftxX
3+rQhI63m7OG9oTnlxZrcR58naCk99msRSB+TCgIFdQ0GsdtbhCYsD9dnD1WNjna+hQqG8WMHH+T
IQWE7PKSBgfogZTtd2lu1jzdgwtf6xJHFEXZTa+BXQfTtGIVSJ0pC39Kt8Cp7lDodSNwHCL8E7l1
A3HV07rSoxr2CXieAP+8NanK9+dEqStdHFpQBq4LhFXXDmbmLiu2ISXy4cFlIrxKdppxYYKcqwNd
5HDMkbKk/Eq0rt1tp+KxYKkm0GW8W82dT679prUTdWhC+EY3jepq0b0noomwh/ZjMbVUjBRSF9dl
hembeMyBRtvFfHN0Vl5OjY6zY40TDBB3HiFdRldq9OcVklWPAXRRY4ccuMF8nEsaE8kFSKw6xg69
X1dwJN86xwvsn5ksv4Ddk4d5GtQXJWsxkIF9oLKsb0vr6iHKZTwq/r1kP2gWyaAad9Oc9l36o+6i
ZEuoyMZbueYv4ZxM9qGpUuMaiYeDSloaLUc9enXcDLcaxkQtvm9B6ujgu0VVxQCwUOBtbIIIS2Iz
rD/wBFgT4LnUMUr/4165XmhG6r24FyQUJ6wpHTHirovLDLD4oV88sWClzjzD6qA/VP48b8UdwiNu
sgBFz6YquSr6Brs+j14bfn3et3acwhinoqRsC8J6S3ppRcITWvYSycB2HBLvL48wOc+uADJ53nzv
UT/iLCOpE/7MW1QNTJjBEExdIXnRwHgvRetVrJlijidkrNTUiP5U0vSPbzy50mM7kL5N+XThNVAM
WqjgcgBxvjezDMP5qtzSoKyvUps8h/uGMDNx7t00hkt2TZ9JjoLOoxD8QakFHB/CwRE/h4TxTCMa
WDSpio/mGJ7BbnWPUAm+QKCBy37L47/czU+Q8VsAzpH9lopaZwg1md4cOXkRZutpxD8Ih7syMkX+
3M/ooXj4FnlO9lxAqKqCS4B/xcSpzDHJ4C19vGQGSxNzQZCq9IoMZAcfsPkiY2Gw2M2SOqOtEcnK
cVgQEcdvGvZ1rCmosCRaoZhyu8Cx8qp7QtCWb6ChDHfrMDR4fwTXGyVxBrVFAFkGlxMwLG85qJZq
3PciTMRQ7Iq07lYcyfOYKizG62ws6K5EJuCWwAfEi+1RyYaJcDlV1DdXNH7cRKBBp1VWpNeIE+tq
O3ag67bqHUIxsylvUCen+nLMNFtLeuw1psIacH06O/odUCkdiWKXYzkh4CVtzsY3xLJuOrvX21i7
lvAOKwZB9WS2Jy+x2eoJF4C3IdpC82a21cEtsg9ytDoUkKmn57E6Ns6MBdwxHIVLXJpHm41zuyUe
1+YQUohlIlWAH7PnENZgUuyDTQZYlqo0Wuldml5pIhDkYBZknaNMch9N4/ooUc540TiIWsytV7r3
DUEMhd1dh/gtZ9LKSrAsjb3nNjWuL0mhk8uV+xdhuoqbidYByzAkxyz9sbhutIGxCKG/1Oq6ySkN
Fw3JNRZPWF+mSCT42NuWFc3GUzU7HqL69ern5tFQRZX+Ts4xMNV8aPz0a6RTOYU3i6Lc1nwahJeZ
x77UdK4443jwRmTW2xJawv0C02/BCQrvnGkbPzUWP/dFsfSa6pua6csRoqZI3kYPSmf+FNJcSSQP
KFgIuxQlZPiUODrXdLw4Zp1yMALqdRH7H3o/aObyIjZTnToHZNIbBzUfpkqibyjoT33d7l2cdHv3
enQGU1A0qoUH+WJOXDZaepYqm7NTs84eytspZgM4acVh5lXtJQqWWa2QwYmyproOdV4O7QFG27y1
x3FeGpciRdy5rn/Af7PvZirHiBYmR6ix47ju43RL1wj8XR/q4QibUuKBstEWX70LcjPosAeUhVCJ
Pug+adcVJLKa+HpOtScUj8Uwjro4jj6qT8ndwjoYYHyNsUTuX8VF23AuU+7anBPqZc97eGfL5l2O
EB+JfRKNS+0ckIVIdbxbhSbuO4CWmwK4IsNA5LfPPEoNX3tf4vPBCrPYKdxriLzDvqyTnh/uSyqh
aJmOZEkXQGHgpyE6vhhe8xaRE827JBrVvhWDfW3sfPtxP1ABf2Azz+1TiD77YglNkJJYnkTeuDeS
rW1y93UV6YUMdmMzr49Frja+pUDD8rujZm3/antbnM0sWFS5YxE2Li68OngZPgr9YwENWhS9V0X7
QE92CLyCIMe/auDwMTzhFNv3NqejsaZoxfEJINFu45wI1eP4aw7PhIvOgsUe2pyHESEBabqTGy5c
9PnSNUw5hgNcyDSi419zy9WuigpvQe9AOAi/HmLAuk6577CDjDFipHhG14F2NlQVaE82O/rf+WfU
8Xyjxkgb/UCM7Nmh0vQwnZ0Qqb3A7PXc/utqleCDv4YbEXB731kibGWiVGbjRIopqXlRmRCdAYCn
S8R7FXkV/2p9Tbsqo1TBD4PkJl8bWACcD/Trk/oO1k7AL9RewFbZBXRot30Y57KadtD7gI3hloiI
MeOLIkeO/v0InYnGT+DJjDsHfoJv/3oGWsw0k+FohItpDi9uaaLJPJXvfqzXoCi2E6GCTa4mf9BD
tgeB3HkNwp+Tvbn1eVqpjigOJblkNDSQkrm2p/frjmCd4vOvNRZMjapXdgiA+9qCdGP8zRlR/SB7
CfZdZEpnpm5X4pkJqGdROWawGuX45xkcjqCIF/ncE4xqsK1vbstzCbOSfZe7V0VCVFpRaYgAt77z
TDwEw4664Uo9N4unLv5iIKdDKaxiVVAq8Kgqc1VySXx06lyk5IfuoZrYZMwxXZRYuqPyFDHIGtTN
fB8ORmCpVrdhNmNvuQJCM7uwb30SeqcgD7jFnJD/6pRHcn7XLf7CZvKrnpF06NHv0Wbpive5KQef
lr5wx/nWXTRydGwJ2YqVCUpsw9TuZ6pY8/UCBGMTu8n6SGER1C6LOdLJnIOvvsdK3+6oeMcJuTEo
su3DiAkDKnFuBTgG/Hu3RdOn0ncLfTW/VsNFOiry6UZ4Nhd3zDQ0P5Ahq5N3aH+OCxU1Vw+Ilq4Y
v0XxwR3Bsl+hGGPLEGoZbc0oVbrnYn0oa/yL6UWRg7LCQo51LtHAQ7flChafmtcYlCqOdk1Tm/AH
9UNR6PtqY51YqDLmXmQOmxOvKBcHfTo9q6ATMRAI1bfK3KNqp/V2dJrFGx7DSseNupjGeFkh15Gs
TQD7ztWoSdDi9z6P+GBCA+n9mRwV0SgfcSWEHqQp5vawVaGtrf4ndWe2GzeSretXOeh7FsjgDJw+
FzlrlizL0w1hl1Wc5yGCfPr9Rab2aSvdLaGuNjbQsKu6LCeTDK5Ysf4Je3M9VKKhD4eLdgr1nKwK
fC3BSI43qnM4LhLdUmeQBpC10y4H67jDQuZ5ih3beMLJVWDrgr3WhBHzMlfMEW8mN2zxSIucblJy
GxHal3dbvze9/otMgd7oSgx68M9NmsR2z2hCubaxI6djHB58gj1KVIbCYuB6kZW5RSLBDI75MAKA
DLCb0KLhbPfyZQEK2mTczKLAXW/XJSOI2bZBoWROWxRFelBilqZ+K4Op9MdgZxPxwxs7Da4ka4is
KTUneH6Tjfut7kcpvnHwcIfwocvhkz6EjaHHp3FZc29fig7eHQ7vaZ83eiEkwBL87bpWcie7ZNDz
q7EOLcaLcanhkGmyNHFJepZf2BvmJQRsg5jA9WHEJ0Qdqz1GsrooGymY8Q1xi8fJW2XbelolhZ4Z
vgzVMBymwVlLkH3jyR9SjwALZt9ueiMTgjHwt+KLIaQ0M8fuOfCAlniCqIXShgt4mvYNDXben6LS
81j08VwxPGWKXFoRQtzAbD4V4CmSw3U+RmI6NEs7c5YRR3LBacIGxMsqQmhetcu4XtgpydTlsnDH
eJkTjnlDX7QqinixHxhKj0zxIlUT3bfCMC8o1abIRl3rEJfoW5MxpWN0ZtHH8D66MypOf7s4ZYvx
p5s042xuLazy9XyXcm4YHK1MRZhQUvb6x/Hx1zgT3b4eP0La0XNQsk/0Clenm2k7XTP4d71jDb1x
G4yGnjm2cWvxc5lhUqNC4g94gBAO9bRvrG2983SkMPGXjJBjF5Kd+IESS3sFXReFr0/UX4rjmhkt
D0aGjc2lQL5R3oaR29TLPs/mjDMBLJqBSK6+l3L+5gyjNd/niNmIcWxQky3fiIECILmg1W8T/8LD
O4rAPx/iCAmKpxIS5zmN8zrqHQxVViSney3u855K8nwDwqC/7OllxSDZZ1A/Vq3kz7O3VOrhZTSv
MlPXd3dmnPM42ODQH0cCFNofyWkQTJKKHvNGSbJwYzgvBSkdSFdyciZEQQaYYabzgn/EY2UlUZNf
nabu81gFjCcXx56j5SdqvkJvIqWam+URKnEaVF9cScvp8z634/zsG/nkcDJyEZ/Qog85+oo7Ly01
xQvaPtw6Zqq1fjakj6RC2817gY3EerAFf4myyLpFp++2dYvsxwnLNNtEAhNUAkPJM+opkvT7Fwa+
MP0dTUSdxk+DDeGg3dpQXyJB/mtosI5st/dZ/ljV+HymObQ0FR8K1ZXkn1hJNurVcVqb+XEk9TJV
rkpfT5y0aYBGNo4z5pdh9rFcCmJFhosGI2s4UMcRfWr3R/zl+NIVp7tcW1C+agCfaOBzIol5E7+d
Kg2uFRYPT4C4YaxSjzZb1crucrQ3m/o0Ufd6ux73WFCnfnhHcNCxPKS4Yeto11nxW8KRmOszoX7q
iTTGa4uzYzvuk3qNZozX35FmE2brgci0NL3GEn3qkl1Cm2RXmzGLShs7vGXxpmZjNkuZYzSEpSVe
WEasRjxjsMj1yq+imxnX7uK2UW11U6OpdrvvA357Rr2lMxgRq/SOQ6d2UzrpWHm0vSXeNd96mH2g
hDLM3YmYYLvT2y96NGfoMWXI/XLYjUOcivHQ1YPi3+IC6ibjhaIMyq9F37bMLkkfq0dmbCRYRg+c
dFybCceinPCDxL3TVmsXS7vya1RSYn90RTsG410weEmrt7Z5GT7hJSX9ewUVufPWdFUaYzhN9+uw
1RsGcyUgBBhoUFDpY3WlaU6ASxuTUUylYVMYsbXX2IcxLrrcTDGnLgqa7+vd4AUEZpJO83EY8LSZ
PjPyd/A1moksiZxNEzpz321wBNAdILlUDE2Yvce2/5M+NpY4K3ACsn0SdlDdRRc1YX1xtFoIcMni
B0B3w8tvOVU1RrCTFqoVtTNFn7RqC+IslL0GNkoxY3UdrJSrKyNOip5+IWlIaF7jMJUVXwuH8qa2
XjQOQkeiuURlrOojR8h0DICLkPRBfsXDQC+tiVgSl9O1IQAwLY+V+VERQJx+U2XHfUjjqcXOHBmq
nTIJUYwUsl2FHQ/bW4wfntNsliQe+CtAlHqhfmCuVVGEmaYwiVSVq6tvmbrHoXpcjdEnFfRW3a0z
xaSd1vSEcqFQ0Gc7yShGPTjaBqDGgNXkOhX28fxqzX7zccI3pZ+vY6crqu5GYVqWPxgeljPArAV5
iUBnltFXIcQs/DluW6yyevMa9/jMQvvWhouLM4JBna6AJ4qCOZU5CMGoj9E3cstty25Gmi8ORVFV
HJAW5Z2xy+aqDTlUQutJiLNqIMoS9JcraX3GgTdT02NYO/2iPXvN0vrCBj0FH5ilAN1gJxOqGtrx
TATSsg6oo1DT5gyqxc+0weoCpNwXLp55S+oX1hcLD03+oqrWzb8u7vqvhQmG+Tt+xIDX/n6SXCr6
13RciGA3UTCPEI1IikUiHXbNmHwdAhDLfCPAEpLigPILxfK6nidT4TJzXNvlRCmo6SlyjbrmdeMz
MuSDychl++us6rkOwc+8g8NWvZhbtVRxIi8nEmZ1QScdiF2hm0r9TC2tr6OCCs68sAsaAnU/eYHS
/19ZuZ1+FsugGBeJESOcJ7cN8ba7P4FXL69TLEcNvhkd2La5p01kF1jVOef6gXxGWE2sksjQw3al
Kpx0VnFYMA/Y1jiy4Vroj8jeg30QyKqUO7/BaI4MVxMlI8mrPTO3mQmay7XTMst08Q9wi+n8P/al
g1PLY2EmcyBxmsrMwShX4AT6ajEKs5tqS89t2P3llCqeLHbE0sS1G4VB9MMjtTZOdq6ZWe5AKG0z
Rz8UzJLmo5XETvMxoKeuMYaG/M13yxMkcxyKIwHA3TC/4/afsELVFeR6Mp2JO7cnlKK2S2dF46Yx
zynpNKgLL3oEEnyB0U9wQN+1emN/uXXEEOsjx8tuH8hF9wsvDRAvoIZtX/aoitkbjwZ1pL4eNws0
YmsCbXPmgemnHjr0UnwmZAtvSDdN13g9boEaQWbycmIvvCDA5PQJN75GJx2TdAAUW9ZiZ2RlA46h
2QTORTZUvhjZOujp262J31nYE99iGsY7zCztkfAL+QyvUZNOEsQRN2DkdK51xn3zyU8I6yV1NyEt
pw8yZVDsyZGvSCiGU1g58ICHZcD4i9wMwFlzy9B4gm8sj7FkTEY0h5fxMWlh64gKipD3v3ktQLug
g8ib9G9HvaqbcJQv2JAsjYIFqQtAbORKF7DYnSSA6El2eIID59IA1OOoh8zAScsjdofjhkactBgX
3sTYbh2EB85zxJjMuxxmC3IkpHn9TAdf0tB3CkU1QcZNnQpggBkK+6HJbMILNkWH1CBdlXLqU1Ij
TTEszTuEu9fUPu4uvElOO6TaeBALiS54zSwkcNEfWkaS27aXot4R+sq0A2H91HPwepvb9+8+yglM
U2tHoPedx7iVsHtguYlga7c+se3QMIZVKfLi09sf81o7d/pGv37M2Tf618cAHMWeD0PJ0TUNbDMP
A2ZiTWiaG0CawSsvO9wFDJh7ToRPajr1g3X19sVY9vnq5cxGahgETltrQc+VfNYIFAJeIWmLeW+e
ZlJkWUN0fhxjJE6sLM0o8FtwVytiqQGtAAWe1ko91fizYbDIcLH7b0BTjo1mBb19la9ZlwiaGSwL
LdMMaU8g1J7JDR2/I2DZR6HgRqW2NSDFCUFNYONjUKwbO8fVAmU31hFvf+zx1f0X5VJ/LpYlAZFG
WJBY9tG25FeZI3zxxZvdsdkJmLYUsp4sMkDRvKc5KQi7pZr1cQLsvnRMzzdsu/qVd6iuMGWOAPfb
F6SXxqvrIQwDS3DM+gJXWBBCX78MTuOOmt0bbRtI90jNmGlh0TE1eJZ+L5hWk1tlm1hCUnUUdyP3
gUg/vH0Jvy2YAEUVMRx4tVicrNzzF7JFWODBs9G0XmdhdYylr9xv6OAJg9i0gwTPD6hQbbk7lQ+/
WVyEA6cTCawLed/3OIfXVz1HCND6E6z+9kW+Jl3z0LS4Vt8pPpZF7Z6VZNw/oNwZ2IOZNjq0jEHB
UXJfslJrtG5txvp5p06dL1E+0rEwmGGh8Hz4h9ePBrFZl7R9EK6NQDLm+YgHQ1UeitYik/wqNj2p
qzWBxe+puM/WKO8t0yssG1EUmx7OxOeuNnAj5pT8KHPTkR0a7Rh/Qd0oU6yKn05eC6c9IMbLTr+l
ymS5MjnN0OMktt2Id17VMyMCfT00R4zFA187+jjnsmrmMnlCXES5ATfUDPsTV0bPCJmnjEaud7kT
gQefUigGvik1a2KOR7wNNzTrqNh2/KgRpvDrMFhVe8UQjcEvkgRePncmCXSdJQSifHl71Qi9LP71
enHpPgxyz8WpAu2s6Z0/Q+KVjYGRAbeyd0dxp+ZRn7/MEbf1mxQsr/wslwUO+roIY60HalwkNQ6y
VXUki2QCnpHfuAW6u0r5mrbjOwlMJcQ8mgXj4wjHT6VH8o5Vw5BjvxdI4i/jhRYGLu9xU377S/32
PCweCJ7xeA2HVHn3XHA+Vwt5iUVKwpMwTwQd6DY3Y9eiL8op5LBiEi2kwMkQiSxKtj4pcdinsgYp
SCPWcc5BAlPlNyerDBEf2ZMo3DQEFeAUy2+OmSOpe/vKz3N/TEA+XiUT2wWHesfM6PUrJQg5x6Gv
VORe5Rrg6HMDVlPrcBR6ChRw0g8ELwGWEVFIve28kW+PD1nMEXv0oQk99xnWAz/AbVwHOnHezvVV
Wkp3ujWBIdV1gSVQjqII60wGjExZSXJbtbQAEdodcArz4eWJESfHBphZwF+cd2vhEGoWhD10bAgn
1WJ9zRs47n+5hlWSb523RWtUm7lKdXlMILLmN8wzg+TP3rITO93awHzel9lHE/b57Vt2HtbGLYNu
GFARcLoFbNM+W79uWPCaS3RhjVyjrTWZkby0hDmjR16uU8MJxyPDRTkEds1+AMvSDYY28650H3cT
yQ8bMkKX7J0u+WzbYMOgR2NOQVco2Mu98xg5i9h7hyK4rM2jCjCpOVxxFrByxLJVgMCONjKy5xRH
t85HLYqA0LGy+1aClDzBMFAjqZGk2FeXVhRb7bhOoA9QU9++ga91LPoqIUmw2duYQrhIPc7uH0es
iLFH764DBx3gF0YNQ06MOdJEItKmGvvN7yFIcYJmr5JO+55twO/Pjz2dw60QSDz8IAjOljzgo+AJ
pPEGDHCgeGL5rX0D8HgshvRxpoJhlHMUHnqah8WpNLIj6mU2JpoL2RkNFLVSlLosvX1nfrs00klc
M2Bh+UwFQmhJr5dWh1+MneTEMi5Vxg7DrBdqHFqyggISmpj+3dmwMriW2cXc9cvsQmsqd4ksNDMP
/XOPC6hLasbPd67rvGjjXILHAiXOpl+z3N+qxFDXyKtGdYm+ZAGFNj0DTSs0Fk2Y6TDMxY5guXLJ
BSlumawEfXyDY4RG2IITvG0xcwQpePuyXrcDdIw6BJNQYWRRKHb4p9d3i7c9SAu8d0Bl4V58LUIH
b53VC5kztVgDGJwjB3+vUxZnK1jo/DcqABHsNq3Iby2iDGABF6CeTKNMSOWLpTRshdCggN7SMjDp
gQwHOZARjYIyGuBAVKCsZEIgl85Ia5gAYFfQKS28CmzO5mGETVavMRG0PQyki7FX43MlJ7iMhFOi
r8xLrAYgRnVUYb50X38RKBjdP6taszYHaNDT9TCbOgLc6TBEAEcIQd+3TF4ojX/vvpNWCTzIXkf7
YfIuna1SzEpCPnX6edLKD9PMIn3pvl7eERjkVN+3P/W8ugmGPILKSwwzboXhb3cdyFouNdMlDJVS
RdVv45H+q2cV6D0ybnWlYnfSHVgPMgX9OrV0c2TEYHHLHfke+Jevgq4y+YOJgeX3E4L2hFnB2xd6
5ozA8YECjEdIyJFa94v+WWeMp6yy+nBCMHaCGrMmq/uv6Na0h6fMZ80nEgLH13mVRQUy+jnsh+ov
B+l7rxXSPmsqSAPi5Zj3e2A467RtvfTPxoo0v33Bqpe/yGMPCMjAHTiGBFfGjK5DM2lckTGsLny3
XTamglVwx6xac+pxItCdVl2Tvw2Cgul8eYWOEwEjBgGG7687Ip/H5wajiSDfuOy/VfROfTt/bzAp
95gwuMLn2PC7TrOdlzhhbA+FFM6S8zmRhGRuphb1Ell2IAc81BHZ2PhnP6eM4N/Zd14fWHgsro6O
EixPyPespbN9Bz3LAEwg4/WSItLDivl0YBnTftAHqeP85u2VcF6g0A9SHhwIDPrkQHv4ukAxxMG/
QIcqJkWs52u1k+vmlLRivUhfCORCcdB9+3Nt/VV+abJxDBK6l8Ohw9HxvOdaTTxbxojtF/wjtq3y
Cgd5G3reCf4iZoeZIMRP6omxLFSb0TIla8co7J7faFmAHPYdkDUlCPaMJhd2sVe4m6SxbEUMq5HU
0EK6SiV+ta7LAfLSVkma8u3pOIqfxBLd+7DcFROzuYQFhH16bH6AvF0lciPh5TAghcs7tI91buIw
RgIST968FaqNOwfJhxFY/b0kHomPr4c5E8Xl2zdJV6nX9+jolWVy1Pd1RTl7OK1b2LRiwbAK5yzE
MMugW/lyIsG8/UHnq57CxdkxBDUlzxjjtLN1F7WTM5sR7cxJab8IKEUfoN7z2E/NYmLYunZxlqG4
v/3Z5x0FuaGse2qmBTDuO/75zj1KUkdwlIZZEOX6hbcnDQkAAvH0TzsLZxEk+FYV8vJHx/VwAtUi
1+TP2FWnUaS3r+q3W8+8EUswjwZMC7bPRyzlWA14EkAqxYgljmBmiASgaeshsILP+PZnnZ/dccMN
6HrpElzdG8Miff0SDkOT4X6f6ngOXVjxGm1rohN6dDzVRAt64x1RYWH3UDlin2ipfoVNOHvuwLyl
fG8WeF4TqAaCAXaAAoH25bcqVAcxtDQLc3yIxNK9DXiL5cc2C3TrkAemZojbSIZJBAFmJyD4Gk/q
hA0DwxsWzGzaSHfXPk4qyAAos5OxaRqAuWwPe09TH6SIccI+5Mev9ndvJcPhgFkdjaDv2vj8vr6V
TdqlgyVnIjkE620PFi1ThbWdJiOFSdjmW3PJ9TeIYg7LexIPWvcv4KemtDeh0o67f/uC6EvZZPUs
QYjfZpaQVNFhKawhOiOkzpUW/OOLtlOaYrF43sIOir9cS2gLQLA+SrP5VFwfx4uFglhiZcJtf/ui
Xs8PfQR8NChMxpj14t0GcvH6JuWpKfEejIiUZdDKq5NoIsyP0eEcDGaDw4quxLNifcXkCuAQIlvN
gX37In5bZXqIyUmQl15vPOctCLKNoML1sVyf6HO+1/FJJH35HPFfmJujloQ+vv2xx3Lya1FlFBUw
nEEgwOezCM5a8r72lS8tJ4YohDVQh2ggVujWTMjB8Wc7wQruEkY3KL19JF6MCVhdReRmxnKpUhf+
S4KDNOwj3DD5itvAM0xE347UeqdmMpfxOYwT+BAoiTUfZMRbsb57kcqlHuvwtBrHDGJPsTIxoOG3
LkOq5yPzQjevbk5v+ttf/DXewEPXtotUd9O3cMqi/3v90PFRctMstBqiUbTZCmd9vd+/sNCMAm3p
cygpiOnKq4uhRw8fM+RDpnmUQB6v5W/5qv/HBNH/ST90yno3f3iOib97ZXAegpf8Z0f0+7ob6vh7
UdS//dDJE93w/tA3nxOJ52EdwXSRp/Niim5bfwgeiYOhA7NjoMH/74nuiD8005/kRRYq6KL9iye6
+QfDCSS+rkffFnpB8Hc80V8vDT5Bj6p1u8nEnEOTebY0ZF0VC1GfPszZ3L9NsiV9mPqo3eHdmF6W
VVqTQuU4OFdXeXpjjl7y3jupP+Bf7yQX4Fi8lMC6gKhcxvFc9Ytxh2xiVM+25WHNZRlPRj+Q2jwK
/FicSl1MXYkrVA0jawWbJ71l78DsQaFb3S7BFKQrHP2WK4UtwKdy9r6Snt2jCFK2/CjijJAdo8HM
e9dV/rbCYG3/y4O+P13j/8Ej7b5OQb7++Y+zvVtfeoApLLamUC0xzj/OXX+59Naba98VyNk8b1bl
AV6v5e3IpnHQbMzC/4Jn1kh+B6QVvlO0iPSitpWVX1Fe+/cOL2cpd8eL4fxJadc4GXu47vN+vRjM
5Mo4sSWGBUou23AaA8Qs85ibOwUF7Qe9pLvzLSfDBxFGbL2r+mmKDh32dCYCmzJNLmu3nuadIKGF
ECXDzIotCBe5hE7ap/2VIKa7faf9eb0bcdE4V9sC41UmS0yVzo8gRh72RSuUWivUESVWRKPlHahB
XrBGru8g4CbVOltbcRoSfp2Y5Im/8wx1U/Bq+XlQ/XgtbdIA9HXwsv962yb8oTxryOS6dRFgwEeC
bAJnPlSrnHQgA7etOsySS5MUOOMeKWPoFKtprPGThJXrRR9yUch+OziF4W1tC7Ir6WVtOrzXSvyb
y2S5MdUVLtcIGPr6MoMwJZ6e0Kc1bxJm6lUfjI8mAZioUkwTzq5oBwsC1liLA4wVkdw2aA2zvYqb
Bkd6c4GR1cNyt3GrbDlUpL0txTu949lgQT9MGnjXx/iaDHbu5dnuyjIXMyhBvQ5rN+7uQCMbeFbJ
UGOKNUtvwUONUNRyCp10689l0K6xv512jhEI/1CNqIBWMdEgl0sdjT/6RCIXg+YorzgL/cjazIBe
xbD+Q+1yUF57JAMYWkBqOJsOC0dzO3fkHTFRgkp110kUCvuO0VT0xNgYTCZyC8YKo9/3G28sg/id
haxzml+vI1+f01jEwMAMEM6jLfECwfFr9AvsLRiorGmtYxzVcJSHKm+W+DTWUUuCmJROtpWzMD8n
hHJedwOOXZup9hhmtAL3qncuyz9Ge/66viGmkJNssnhcF+zcOXsoSNLlGBB4yNytLvwLhNHthYTW
mW1CWbfVj0yUHWqSKK3Gq6IcLmB21dk2k3aEz2VwD10GlrUF7/7Cbwq1Rs+x67Ou+4QiUn6kjfgS
Vq59AUlOpiu3JHMLLKzxt33XqetwqJjvVwr5qajuUguhH+aGQ3XZBeWwt80u2wZ1YH6sp+pnVUXV
2vaLJ0jeRGN02kDQnOdsa0Q1XBdTlusIisJsInaznOGx8W2564r5L7jU7QrGwTdlYqywESVgqzQ6
ctVKPCcOAuRrI/yuvELSzJUYpknY0ID9AMsl+QnDDhre1HK9LFU/2PamSiCDQYW8Ceei35HyFK+F
P46Xs1IfFjN09zEQ4mFpVPNIv/7YL42FKIfcV+wYlxtHFbATgkhb7DFV3jcwjr8bbWGtsxg/JnyK
Lcx2I+8btfyytztn4zOwPBBlGRPOJapLhZsqvE+fWbnCLJkwJjeeSoAP4X5uvVitcx8rxKxF7QfB
6QISULy3BrPclanfbdq5GElAkvJDU4unMGrzO9H47cpKOwBWBLDrruz2Rlpdz7Hhf4GgbHzr4AQn
rNWs1UT/YTEvXelJ8uqxZX9WcKd+lsQ6M8yHbtHnZHao4t4IBrVtg6h8JA3wW0qC9c4cq2ebaVG/
DVsVB3DrewwjZ7ysHxBLZj9MvF2WtVqGyWXCFmV/9UPv/2yJDbgPkYV87lQUPDcdoidEt3IiGCox
bp3MS/cEFNN3CKcccQZeqkNS18hLzerKdHv0yxbUsbXPc9jCGLcZQPrIB8H3fdJU4vRBDoO8QNEe
Xdg1iru9zOruFluDYAWdq3NWSzjtvUnWF3YfeLjXNtVeIHT4BAd9H1eLfZXFkdwiD3cuSTA0gpVE
B7Qfp6S6GCZk6MvcoIeBZFU/wdT+c8rjjiAnt+qI5nC7H0JqndYonWUXpKJ6RAySbQZRAFRKOpsc
ynGdfA+reN6Pic43HKAfBn0zfGbqKdZsi1DnOUWx7wSoqOr1BK33PiBGeVhbFkm+uG9hsOEhd8l4
k/Cj30H597uLpFdEvGSOAz8j/RLDaH4Mhi7aGmjof1BY84N0RPsNEVZxT24WgKEZgdXP2bThphNu
WKYeSKZhcP7Ha5n0Ni9H8OkkxOOJjME1MqEnN53QrHQxtRy9OdYBuRVdlO2YX895u9zEHXJSYNR8
LZL0pnCNcRUmTnjQuYFXKF9xiVKms2/l+KPh9PRkAbPmiFOEuiRTvdtNQZ+ty9IpLvFOuYdk9nUY
nWmnzICE+TlI3LVPl7zlwC+/1gijHpANRWuUK9ZDILVQtJ+MCwFzdIN3SrXvSj889DLpPqoWa5FN
CbfsQFd1z7+lnzKzyg45rPNpVTFyvohTO/5Y+L76MRle9mUgxVRL50uYen5TE99jLQcrx8uLwLCO
Yxzu7D+tOocQ7WdZ9XXI5wl6jihIpp3mQ4QFBw6FUEcdvM+64ilf1INdZOWdQqP1I1ziYd3Ow4/S
cZ/DFsnFqrGN5MruzOKx7Nr8dhTZ9BeyDpPe187qa8OJCSvOjOTQ4+FzEAse0is7l4HcRAopXMQ+
91T2Cyle6fjFMYb6Q2mVEpGvHVySMIwSY9E3gUze5M+SOJELvyyTdW5yXNn4lVVusZcdoBRGpNI6
nTPvY7ilW7IS7ANyoVStlgn94Ba1TPVJoGi/y118Q5ncqmu77r0Dttz5pYiIoB2i6aFigH7p9o3a
Awn5O8DL/LZTwBuN7OCJV13/Kaqa6LqQnbiYg2z+BBdiuG+LPr/rBz5N8qfj7YTQIy8ntDQwa7d+
VBT7GBbdmg5Mfk7zarjNu3Jy915cd+4uKnpv2cEBb+8CXHNWaQdHDMvgOH4202aYVo1J3c/L9Nbr
OUhIbwi3Bj0UvxNZvhTP4NjTTRlUmKITzXTPgR6Z0BQE695jVA6q86mphgoxIAE1NeqSLw5ewDsn
4n1e5Ri1wqggynfdm5jtrfLZtThYTQ8xRL8bd0qSD5YU3UVWR6SCMgrw6jU4UnoBncokA2dxrjUf
47pu2fWSiNy5FR8t9gU0zm3npj7JScr4s/On5zSsxUUEO/OS3nlWK2/iFx+3RQ8nYtltwirNDv1M
R92REEq0xIAcFZeFj42yUEVWo/PT6O3wOkgwG+OsNU536Sh2c9qsMnTBTz1Wznt3Mr2PTe0KKEbN
eLHgcP3ND8sdGuiG2zIs1rPboJX3cZi9jwiQ29OEKjShzXLbQF++Td14JhIy7S+8BqHSqm2QglRF
o67sdJnvOJ+3h2lonU0FtWtFBbBha0zx06SazyQHh5eGHRsNcb9zfd1EjjmCYeU+FNj8CltLvENY
J/sOl/9LB9uuQ6kmg5Dhou5oO8Rzwyzz0QAG3Tm6tiDgQzDXquCji2qRmdBUeHuphLUjuaN+5M0u
rpa2Q0TSdXmMazzjEQd+wqrFDnc7Q83+NLizeYtDoP9V2aV/iLFwgNsRMRKaI+JBUOVxEmutKfho
RnX3qY1N+4shFVXetzP5DGXIvye6JMCmpRzjLRFR8IF4m7+LyXksg7SHXBLtlT+Ej1Guum/jVMSP
kxDOX2CN+XMcIjnEkDnfgTDjMtdHRbCK+gRvkSaYxBqzT3XheUOzSpvk5+AtyUWeux1XaMJBSsNm
U3dJfjPoZyYc7GhwU2CvytMmPWQMW1eo47Dvn01gEOwcOVk4dBfKCexjDOranpSFDzc29Q+YoeNt
WGJR+5MQOHEFgFhxcq8M98/GTJfHyJ4GZzvIaP4kp4bww4YGf2MsqE9XQO/QJyVSamzn88fJdtvP
bZ3iD9CXwU8mVmawYYhOBXCSfiTWzJzv3brpOWqXeCqjHQ7ujJQ8CtjziYrXvFjFBvgyT3cj9KHr
csrrD9DOTGsTmvPPsXYxflHl3Imdm7b+VxHDD1iZVs2vtH/BE9bkPrG2dphFGxbruLJdZnS70CiV
ugQWzAJS3apqZ8GdZ8cEX+NtlyDRIUUbvxu542AbtjSsM/+hU3UbPkwpxjQ2KxQZx6GNJ7ZzGEWN
dwBCne9ZHXl8HaZzLHdZS77PRprz5O5E6lFwYgLODmM/hE9WMpY/hT00h4nD3l9x69GsjrIcUKMs
8T0OVsSzTuNIXly2zNj5YgESrRPfq8Euq+om8ceaoHYr/FmZmo1AOBktD84cX9l5k+vGt8yDyagQ
dp1KnWk/mk40bzDhYt+AosVQ3cBBhgF1k1wzUCSNuMswB8wH+psNO0/9FZGlr7aWX0VPXhf0484M
lqVZV3jESygtls/aR0whdnE4FT8HaQdPRYuGUsmOv3gkfxIhEUmt3yO2rWJNi4kcOAv8+GOunOg7
cau4amHtXO67iBiydRG0wZNM0X7vx77wv6KZyfu1MuxhwCNwDrsNaPzS6Uwk/zsOVN2mLD7SEXrf
PITwDVv5YCZrs+5z4ngSRF+z4VYu6ZOo4HewleoPimabniSwvXJlGmSwAhAGrI8mFcl1UU8GccJI
XSAhG/w6y1TKyzyqgiertZW7X/LQta6MEWUz0Rt5mH2r7DFBFVRUxqVpGiMJP9M8Lnu83Gux5ZRd
jush6briCivJIVu3UgbJekRR9Il0r8BajUoEgjJqsF5F5YOyk73mYjZpugbuylUD68umb0mvbLP0
P7k+8w3k6DzRLXnBLiKVNqA5rjAVwim/HkK6crPwH5zGSm9nKYutF2Y8LUgkGcZ9uTuvXIEizxhV
8BU7C0NtopFkV/Sq3od6UZcxGNV9a0bishGZQRanVWKh5CzcsKzIemMtG8/A+FQm+wmB1SPOZGwN
mBkRCtw54WecNZCA1V5bbpFPd1fEgNnfFcX7tgb8/ytkFunwGhn1QSTOQMlLOqdfZWXJmXPshGz2
kBpGUteShRANXD1md8el294OkRdOpEaPEdmmSdyyf49M8Vr5wcQIO2gOFT5TD+jYsE1ez2XaPJn6
Cee6lQ+DyFgvCaefNO4GSmfY7PFGUbjoLTgTs8Vm3vcpg529Jvkc7aM3CcL3fJzehruaEGRnawVu
TK6utbjDVmLDwIaWDuPXUaiCtNacaAgTp1if1QFMiqecqrFyhiyLp6bZFgT2Fo6xp7SEMye1sUDA
mIB9rXBOaSPdL+TuGtCufy/e7QisvZoxwDYCvfXhYKE0JRjv7CZUKVYtnKFXmBHGf2K9XWKwgE/8
8yz9+IFLkbCwG+shTkYafjZ0gg6xsR3Wg5tbN4U3Z3dWgYXkyk4d9fcI/DwhBuRA6UzTAwtC3/nF
mW0gh6al6+tLAnHjyOLg15lLmLECCTm8lqQs7gsU4CkSncyt937R4vsEtY6z2dvDxtewlx4vmkLg
FaAtqpl6a2Dh11lj3AhB2tZUcsiam007dVdlOKpt7NnDjpAA953F+ZpRcvo47DKZGmrMxzbPHotT
hb3E9qMkNsr5Phiq+UTMJe7vgxd+f/uL/dtPQicBYRqqAsfS11+sjGsjq2FSMDcJE5TdoXnZljj2
DuHkXBw/6m/BRx/rkv+dZ+m+Ctz934Qweczk/jPAdNEV36ufPJBnAnuH+eLnP/+hf+AFXHL/gEDD
jA8YCHyOpcWjeQGXLPMPDwo+HB8N9yKC4Kcq0Krkn/9w3T+YUlK6AgeYH7Y+P9XX4/E/WX9ABiKi
DcIi5Gv9n/7f/+XWxs+Y8xVzXFf92b//CpGcrXjYBB54F1IIX7Mb4LG8XhgWZjXwrLuG4ab46lnu
sguZS20zfBD3buWX74w7z0GQ4+dx5ahKAy3IO1+IuQgWZPZ8Xl/lcYwd+IKDtojFbgpFtRu8adiH
mLbTfrvdJkk8IsHc1lkBwNYXTV/Nl4PEz8tt8su0GK2NMWKxnCHtfa9knr0w+joRz/DIIH1ZCGn0
ffsFrAlRC8KhxQOUmd23tpbJZWK3IW9O277DI/r9CRANqsE1HjSsxHOGDdJKy1x6BvETZrQcbxRh
GLRTW+Zf9Tey9t6jsb2mE1Fs2AZcLdIDpWC+dT5vxgE8RbiNwFr8F3Vnsh03kmXbHyrkQt8MnwNw
d/YURUqiJliiSKFvDI2h+fq3wciXRXcy6SuyJvUGGYOQMuAADNbce84++aj7M0cGP8mrlXebw9Qb
4R6mYOdPvPcPbhJzA1fDeIN+zzhahYusAKmNu4SUZkfxlaJsNk234iwGDpRGrfx58wF+0Ph7lwm5
3iRDZHUY4UVTj4v9Pf5do0hz4ZtgFdMN6R3yIdFyYHI1lu8fma6xBWMAkYbiNJoXREtrfxWFaz07
al2sWQFNJjfxjNc55DxgOWGy5hn73MPC5ioz7ftCk8bvZKzUn4gmKaM3+uJ+zcpaE/vPb+ajZ8cA
WQ1dqM5NdR2qb4ZimwqtAIoioDSq7mXFWXdXdtNyCWSnDqtBt8PPr/d+6GPjpOe2DpC1r320VlgZ
fm818Spq+qm4IEPBOdMxl4at6MSJ9dbkp7/ZlzAW2YejBLKpJvK/YyGXpxWY/ekH+OOcGRsKM9ne
dePqxFWORGwMeaZYMh8M8j3I3UN+ffgELculyNdyGSDSU5gBwiCyJXKfJmloYV6nLVDNaEJrbS2h
VdQ9SS81ICo9OmVWfPftrfsLDV0lbWkXoMzRo40pZyuEWzeQySKkt0S1+U1VWReASCDGpNMKlPW0
vxbkgyn/7RS/TuEHD5mLGsgH8I4aKLqOBUXO2EpBFhAk9MLIfIOvn4Otovtmzzav0+14JzlqBgVF
hf/gwdPqZhIFzkDu7bEnVJtLYHrUAPzENNYDPHWXLEuIBVRK/bJVYs0fPV2/zuxWvxhkPQUAh2J6
M6DBPh/THz14xthqiURZxN7ucASQcKL0sJobn0oiW8e0viwziuFJh3k9xoZ4vlCwPvHdvn/uZNIR
G76uJCg43aPNpA1cyahEh6eMZKkdInfhL71qnVdZ7PmRQwwwxLyFYmVcnXjjHwx4hCfrao6AGPno
a8Dpmymjh+4rxoRiZW07pH2VbXPR0/nbGVWcfgN7lgdzXqzA5Ryiq922YTyYZcBJLd59/tzfzSXs
bnW2nTTEEZFQXzl87hP8gBKaas17Bo3UViOYFs4hfja65ebzS72bS7gUKhSVq6CtoOR0eClSNSSp
hU7t55Wb70VRRKGF2/bE5Pj+KowiPidTw/vDEz66oRnxuzmsxXuhqu0OrXt6NynCPjFc3z82mxmL
uQpbHVvD410ZIsnJjTEU+U3jELeXlPkuMfMZnEeln7ih918GawpZEOQxrqYM5+jLiDIhk8HgUoSl
q0M4Nqay7VPXDsuMQo+3DJH0C6RHJzwg7z8OFjS68fhx0V6+M1GlooXDguPS70BEYUdSjAtALtWl
RB962fW6uinZDtNiPDUbeq8qh4P50GFZY7vN7kelLKAfDRQwDT3Z9E3udwpZIiTT16vrVx9uOYo1
+BzI+trVdM+rTTdM8ZlNbNAPadfeRY1jhHdgwla7NmdXWhuwvVQqTbdqpK8rdnquZLE9h6kDs3oj
vGp+MUph/RCDCdg1pol7laAB6jYTWKFu1yRtfp535HuEaLerb3x/Pb06y02mXYLxrPBjNANXFMxA
xDhVT/XGaOMvhJ5I6qAOKRCoGBK32NQ6fruNCyj/jipjgzpZqr8EIQUrK71olQ1VNvoz6dx5d/1C
Ezs0CKJbQr3uad1LlXLVZsLd8M1DZ9XCTcljwC11KreC9QRMUdtQpViySFh7kzLZ7yidrG/s2Jt6
w1ZK/CiapbvNh44al3DoejhCNb8smTpmoRxjdd+xz7AugaQUjzjBAKBCG8NvDsLvwWw9ZwnKJKai
ahhgKktgM2YwDdY0BCOykd+jIfRHsxwVuqA6iIEgmbup3Ix1PlO4qmAX4kqkRwu0Dzr1hmQagk+R
L7PDaxH+jmEtMk2EWpOImly4MblyUD4/tKgg4FvRHiVi3Su0FPi/kc/hTAYKCXeF5V4p0FhmmmgE
HVLMid10P1AadzBA52kbmlmUzUC9nOFh1CF6+hAP6H0MfWo+dqNKDqBs1LnzZ7xOVjh3sv0JdTeB
9BnXHceXycvCRDp1tF0cU6WvrGusRksimuumcjuehF5lps9MPsLOrQACbzuKptSf+25IN7iroOXp
jWGBstQQe/uC3eo3qpsyZh3NsjKwG4rLkD9gxgRkolTfvQaMCCb0VnksKo8+EgN8dOl2DsuKy86N
S6juw7Bx1Wz63hK45vm16wnq67M6Po6SdsWm9bLpFw5qZH5j1YvbxCJkrtl4feMum8HForM1TbFc
E+zr2aGKRsANsmEqdskAogfw1lBLX/awFwN7jqO9jYDD3g7ZSF4WoDen91Gzabc6/u00zGVPhZPs
0TmGH5+OVykpcn/k0ggI1Josvhe2Nd7aizqUbI8Xw/WzOY+v9aIach8VHxlT6IHLcoMkifymUjce
kFcrQzi7enMGJbFcm9m0qUoJCXzr2dNIPFLv2E/EEi/35PvRa0Yu0HWbmabEsyMHjRgNresfcwCe
XYBFq+63Rmuk0rdTi4a8qghP33T0rc5ADKECodtn0Z3MXIW0iSxR//DI2WphLLCWYCH25w8Wn1T1
W0MqYJaGYvaCxVnaOrRyAxwo1WnlIuldGMijGcVlQH9lWUg1Sy3gSVgB1zkjNS9tK6frKocKF65i
2gR/9+ggyJaKVaUPyCBGhlZZygh1m0AkqBh9Mz9lwBcMPKkive1XyQjSzm5c5WclkFibku8PXZEY
sLN8xfRWtT6GlN+ECetHeM+DNvBjoyRV7iu66V/KkaPDTjY2kNixKfcN8qq79Xs2d3T3CRxnZpKP
itl437uFjwjmcQoEaZirEVMC81q1mZvSe/HcPlk4HKpoyybNijdEpaM4TRJg5puRdN3S7+K4/krx
VcLKHeqauDJoWJfkTpEWpRAVimcSP8iXrhqZDXBx0nNoweE9gL/JqXqrqvVs9Uv/s+csjOREdlZ/
FvFJB1qsolroDckpoUdob9B+roc70I9V48e45YbtKAnJIdXVkTF6sUmVSDlEdJObKVVv2dB38S0n
UWFxW+v0TDpAtksIKcUKjJHruw49/56+odqDvtSHn95CCvmZ0Y8YILRRMX+QgKDbuNJLWoElFBEQ
6MkgrnpSMNJNtXT5S7JS5PkSm5+JnOvfdqZ3Y2BB5hyY8Z2xCAq9lBc4SpX5glNYcqO6osBeYUOw
2TAlW89Ao9vMT6FR/xzyNol9YA3NTdYLY6DJCCbU1xRNvdIGFIA0ccsu30rb6gzfmc3J/cPrHKu7
EWKSFkSmDTQ/R3sJ/6+P9ecsIhCI/n/eBpNVOg+dohQ/l8RRlyCBZ5oDYxsH9ZzYJ7P3iz6hK0cK
5/iDsx/EaeEs1s1StQkl+cYp630kYchuUvptBMgnRodN0UO81uQumjNyna3f0iVuM4xmPgaa+nak
B2mjSxds6sTJvJRl7Jy5JXoDFjFl1W2pswL+tqYFP8KhJsRYq43aT2DbEqiULdVlZo8dENLYWVtc
TgKTUToL4olOVIqy0806vxHg8OdAtGkBWxm38sNM3YXOViXo5bmWUXxn0eqZeUerCRtKIIkPHG55
slEAJSEjdP5aDqrgaSDwo62lySbewl0zJiStqhkHgBcxAUylTeNWlrkwaOOVtoBa4KRnZYRwAg9w
7jy5TpQbrAHEfWwic2Ra15IW0RzvVr+sIcLikCrWW6AmQo8bXuPqAXagBIL5okNHVBUfZSwJKe+7
evlh2EvD92QWVKbN2TH+kGZedgiEmpwmkbownQ5KUT1CPVEyPy/I4dCQ6iWXy+g0P6U2CMAi2JTu
zIVb2JBrml2yt0LPokdS++2AinqxlcoIHJUN1EalP/Mnli7Ul55UiSEsyjr63nKSRudgGASmjGUe
XabuYDwby0hETbXUP0t6SDdRMnliQxJBe1uQeH+l1FPWstQVj46tTLcu2FbKGGnU41qZ1B7N9ar6
y1oWFtUgts6J67O0zvSN5xCg7QtIt/2GWvnwQnre8mhZiXmv1OZ4oTsiJRJb74hwrZyhexzJRbB8
gRgjAIlg2VemgYuKBrw1AiDROGny4NSrenKA69HRGL5LNkm/JqAp2lkilvwemKTOvKq3buqPajGH
kVn04lJYTvYDxCXVCk8gFdNFLnmGAMohi0v2uZshTvmwAJUP523jNDF0cGpPAUbeHCQ0QN0/0VCW
bIo0Wjp+JgV05T6T2telBk8PSW5e6N7bSh10kzVfZzS/QXLkEyfVgSHkUWydvPZuMseqxvZXO/di
bJiZof7iUsEFatWJ32lx5xFgHvVTQE0s+jXoRvvcjV1+T1CXSt6jNujwB3EuP5TJWtiJutb6waB1
7hOkJeesc7Gz8QATKYE2uWUVsB0UXgBZwXY2osDkGjg45bWNinQaYnOGUDrMwHGRnAcrBcV34dYk
zqiI6JRMQXUEXF//ocwOC6JdKo3howNBfDI3tIH1RDWgFVu5/kSBoBk2mtqmHmkzZfYkCKq2Ared
cdUJ28KFk5YivcB1ORUhqePeHYnDSEDBV9YxSj+r+9pH/B9xYyXjA83AbD+ocn5NYSof0Z3od5x4
vOemVOd7zennJZBZqiIKV2mDrwFpy8zhQ40eYVdIMAhqXwgawooeE9YyVl+6tFbJundKZB+Zmhg3
IulMzY/cCMabOsbM73Rcx4cU5jGRkxCaPL/PBsGPYyMgfAI4lNs2i9mi0civzoDYMCUZipI/m7hl
XUQOc/OF7EXd4T3p8hyM36xuSMREHc+OIPWQtBAl78uSYK4wR7TsBZXXLLcZdBdEWp3TPNNqSjh6
IEsAVZx2y4xZWGpnbmy/GgS63ZS7emiykuQ+Xi57X1OC4M0Mg7xF9MHuPJIdxt0a62YeqHo33yio
SqU/6xRkvphofhbC7YDLsJIgXEI9SV8lUVpn02Dn6cl2F1TNp3LNoUzNMe8Ca6SFvQczj5beRGkU
wvCk1QA6bXhsW2eGjipVnmnEZPoiXKJ7pDloqGCguFeB65SpEtZgdu2tLYfEAQ8Y0aOwcpKbfbIc
K8ZSG9X0iPOCgOiIeDnfIzM69zG5QtAu2sS5ygiPN7aOnCbmAXaEm9ZRp9lHYDvllJnXEpwCI+SL
mUboZ5xU1AaEczIZySrpZzQaQvRXjjHjJIi9lmU0B3xPRGTCRpJ6LMhm6LkRFTRDvtgQ2dG4lZaG
MlsreYUkGLV7kkbaIkhaA2G4JVGMgAWX031GSsmliyXB2Ezs9c8AraM6JwLROSNCiwEXFY15B4Vz
PCddV/suNZWoqYFPkzzDXkw/I10v0TO4qtgugv0gzYNG33YWvVsOcCzVYaOYBBw6Cn7h3s6d+9m2
yTKYalerKXYNSxQib+cEZJXMOWvXn6qkCoHzzpxxitNMN7XbGGz/S6/1bOuB9JJlYJTlH8/ou995
ErvTdYaO+NGqsoH9oJPFFLWitMcbL+qm/DJ0pfFjaOfUgQ6TmMrG9TTCBNLW09hQqcSKBHGtDshk
WXPh+RmZKoKoa5bv6O3M6UInZYVbyibjWisqq6AtTjncL4jY3i8tDh5/YtiDHiocCG8de16N9a0s
t6OLYtD3kKJMGwWJxDdlxlwb8PK1m6LV6FRbspUBYI5sCRq1s85p99mmj2Q04cYrL7n0urjWgqS2
QQzwn8NEMmp1dY9m03YJDpzy34jUvaspq/rLviFqeCNEa9MuzpricXTa6csYR8pLBsEM7Doeofwc
s+/o+GMpddDS7FyvlnidU9B2j1rIPmk9qOQuSicOne5OF0736DlV0e1VyEhnvdFNz8i0DIKG53aw
g85VwN4gp6ek4BlW/GQOhsoLQ2rlo11bDLLk3KL3ZaGNOdLPhQcqNJyTZiZULBekPAg0aXlsbFkR
PTWgcKhk296z3H1iigj/CEH0vxa+YoIXlaG8LAAY8+ISmV7rpjT/ZO1svnSp3l64qePIPZs3TnDT
6KXf9MWxHvQqZr6woxKRcZNU2c3MZgGx39wVHel7VXLW9mltA162zT8i77IhMJ1+ih9nUtspP2Pv
MQPZteo5tQkLHUKNLn0zkAQKnwXA+1mNDdfkyGir1lZmopn8OgVhtWNlLYqgH3OJY3eBvhHmTqtc
TGbac1fAm5l7wKM2G8VluWQL1/zu0RoIhKnxeJ0TMfFz6vv+sktn5aeYSuVnQWXZ9c2phgufzF5l
nMcYfdkVsHL2vjI2rTjPs2GOt5wYm19t1UcA09tl1v0GlWLhD00Zu9emVqlf0ZY6cyhdEhBIFmnV
535yTVi23npMrkm6vCu6DmVjoRXknuStlj1Y/Wj+6PiIJxKJhPlCRNxyJ1bXjO8VZpJxmoptcvCy
FW9bW5FL/UVwAtnAGlIuciZh/nVeuw9wJEqP/FFTqwM45kwpCV9BDvuGi/mjOcv8jIwl99LDwMgT
R3R7ZrRoWHzTTMQqGRyMJwfTUAvWy+yqM5D3lgwcsjfOuxxXErNvjY63wj1DGzuaVCeoek/zts5I
yQ0TRkZDhySw0kfgMxB6gxjrmuZXotDOK2drh9kEabPTtTciNShOq3mTRFSA7MrcloIKjV+VevsM
D5+pc2Gzh758Uocv5RIrhOeA6/9Bx4eTaTr2nnEG05jqX1QjxgjVocnFeQLQhzKa2XK+3FidZmHu
ZrEZA/7U7W/wO1hPqUabZuW5KyyGSJG+6wTweTTizdYJ7DIqCKWIZyxWLbT1fKdR6PtD18y9XNja
dxs+6/KJJW667ABRJ8FakiQTQR2JDq9EFlkBHS8rjKEqrNlCdeltmJYI8EptM7oVLchKihO6K86p
n2QXHChm8jxxqw0+FBJ7uVxjMQx/ltQUCNJqOmjSqFLZ3k+SLKavE/dWbcdBIdpROt2m7Q2bw5Hh
Ij6MDWKLQ3vW5RPrL7FxeLSSK/L5YuuMoBGnQl9dWOyAUEFaYYLHMPczkgJvijqbfvyXhbJZrSA0
UXPHitJIsdyNbtxf/1cV5TMaNiKazAL9YqCyaO/bghrJ9vPewrsiOdwCjNl0lWFX6bq91uvf9FPI
X+iI2SWnO8kVk2LBUF0qijEEHVFf16JUoq9RZp8CAbzv4nBVA1qkShfbhnm2NobfXFXaKeChIRU+
mTJEp1uzlvljVrS71hQZ8ZdFdKbpIt0WlIIDXFz61iisiPOLZf7dfgS/hJalSh/LpFdgH7WyFMvt
aiO2Gn+ZBv0c/Iy2mwEMfbUJlT0hB3vXYFkvhd3aw61HF/q4Y6QPra0QGd/QuTfcCzNPSMZNhuZE
h+zDqwDyoQmxyi5eTXlvHm0HxUMTDjt9IyY+puhr5WtV5+0Jacf7q7ARBTpKg4O3x7R0+AKpHVKF
XTuvAxm35DFEOroXmg6nGCXv2kUOva/1iSF1ROJnHbWVq6SIDHLBax/co7YX641AoKVE2M/piZHw
wZfAlsWwaGkCJeLWDm9pzpG54wCib63a8Tkwt5HgpyK70JySeuqCOwM0kXOij/yuWUTHBtu0qtFE
pudmHt2fQbpeo7EYUOHmEDdINugjIuwdcblPKPrnoKPF6ke5U5xojn30CfJQEZMYKCc1dAqHtwsH
cS0rZuuuRR9xERYj+fC221gXWqMal8qkUyKzs2bTNu1wUdOUUX2xuGQeKHFz4im8wi+OG1doEsH7
0eDEiX/UuLI60IOcMQTol7y5yyH0BjpIi2CclpdBjvKyhEXvdximN4vSS0Kv2mLvmR2OxGQ9wKFw
3zZoHANI8eIWDQ6GlFij+2FU9okJ893Id/my1u/K0VGx6ase7u3UpZE6HrmEafoO3vH7AnhLMBtq
vv98Wv7oKqgZ+bqAI6m0Eg+vYkVT19hNiSeHSMerqnZ+THhhvvwHFwFayF0g1MINf3gROfBNqSCd
fdfAizZqorgF/OieGmnvvmGemItWCaUucDpUKoeXGYyplQQUVzREB/PaGCX1ViaXS7bYhBPSCdho
Xqtu7c5MvgwqlvulG3LBgT/TgwQ327609PTC7Sblobak++vzh3CsIEZCA50E0LvOl2iqaGQPf55O
XJEecRbym9L6A/xSPA6NuLNxuVxAKsnOi26uyT8eqII4ozNcua5ZYTIYxmtCdokXMSeqplo2fv/8
d62XPfgkXn8WMgvUUYh8juEYrTfMJqX22i8bjVwOTDBBJ7U48Eo7P1+EfImLqtxqs/f8+XU/eFvA
0dZJwcK6zZR7+Dg4gLi6qzEocputp4xc9o7Ar1Yn+SktwDHEYn30XGuVeloq6GrvaBtAcVeCEE9p
rYJiDmVTqDgkZiMsCxrH/YxBCxKId113lXNteUu5KbxFOfE96+soP3rQJlIeyBVIB9fd0OENF97M
TrunKyBNnVBInKUhxuZyQ25Vy6l2zs60efLOKelMvxql138a3vQHPL6GzIeKkdCV5IaQ+CpMhHBu
0Zwu00Yvhf0VZiAnB6jOGv2eZiKGac4sShip6lK8Uk8JUD8YMBZ6V5jjropQ5PjFUUud1UZD5S4w
u79YcereRWydQ6u3qrvFiZTvGv2Vq8ngbPP5kFlf09ETxMixbgYQQFrGsSYnMdW+USmm+CSlDU+j
G6k7FeHrHWId9U7M3qlP44PJ0UZ6tYLj0A0iADt8YxXNVmDSeukXCAjv0LINN1BEjRN39cGHAIBf
J1PDchHFHM8L6DjSTPPovla82K9qZQhmrDi9cfNGu/n8Ab6SPo6eIOuJwctDMYiQ+mgMTr1lMsO0
JKf3UAw0kIScQebhQoMCgrkRhEM/qhoFfTzYItUbGITlNy2NLtmlRBe6FCcmn/dPGJsAShJde910
mUcrQ1OIOB9kWfrEy2c7s0PM1SDvOPHpvR83r/4Vl/0j0wCioMP3SML4TMBkixikmNLvVctRTrbe
uK+Q6V7XFUWTzx/z+zfK9SyEVEhOEZ7rR7whExsemi6uZ+pVuu1MehBU4aNtUnfq3x48XAoGLOud
jg38WKWbUg4txNQUPvSG9sxaVUhL7k5nVupmJy71wbtahWjI6VcpJJK4o6eY081yCkaMLNJ6a5W2
uUukppy4yofvygOZg84Sw4199K5cjfzYCRI1xkJZ85qs9qKiFuT3k0lrzs7liQ3Qh+/qzfWOliFn
EkTutYK7aoflq7AxDKImz7bAy05JdT+61CumZJXqwF04mk5awutGRePWmKvdDYA/ze/6osU3F//T
QfJvBasfXYqFzuLICQoPQN/hu4rxi02apJmVNb15Bt072hjkK13XBDAFnw/2VwLU4ZyCBp4ThQvo
zuaEu5533hwES6uia9yjJ6gIjngSdo0aFgLTbYNnJ9vWNVFxQ2kOD9BvaXF37bxdt/u3xMpFfmY1
otxUInKDHoE5fRF8TAFuCu3EJ/l+8K4/kkGlIVyDRHY00ajw371mYJIFr9MEExjfbUx5+cRE8/6x
r5wx7GHQsBGtHksbKdgj0JYAcqBylztYS8WZIAYzMHNLnLjUu1Oki9sFDg8bava8VFQOn3qdDnaB
/QBsTLpUeUA7xSH2jdbjrPUTjJPC0WJfuvOpXez77xNuJiUuGE3wM7E5H1438tAamWymfQnuKNpU
kJ2p7Wv9XmrRBQ++vuPld+cM9eUah7e8IBur3iVJF4eNgzDczxyZPkxafqvSWLnXxLiceNXvXwKC
Z9vmV1KboNp89AtjD+O+2iM6aHUAUooa11eDSgUhiZVTsvj3D2Nl/DOm0PrzEpwjKasg5ZHDfJpD
EvO8nzqAiI2kaU0qcz/Xt2JO5hMf2/thDMEOWwHEPGo7VJMOn37W0KERDYLkWpjdgwta9s5tF7s9
MQmvv/vwk2ZjZ2jMIGBksHwe3VcDWKomtgypO6XW82Uqka8NVDzRlbnTqlOjgyixQp8pVGg3XkF7
/PNJ5YP7pBrDTtl0QOZh9j+8z7xbNE8vKdaxjfZCrx6yMMf2/vXzq3wwUthJUvlZzyDuq0Ps7czF
HNmiR1jtx1j37/pZfsH/UP6wCpaaz6/00f0QJgACbgVgM1IO72cWGJlHhcjVXPWibdSU8slRveb+
86toH92Qh00BlT5VHv2YObrUDYacYsj8SWmHMNN7Oid5706BM0dZkOZeHNpdMQem3tNoKuYhnOzx
d2917q5B3bSlPY5UcCWigMg5tc/9aFAxrNYDGPB4Dg+HzwAhS8SmC9aNkibdTYdiyq9yOhpLN9Fa
42vmKG5H1baxCxR3GCJODOp374DnwqhhVsbXxJs4mheYHNtosGB+ZZnMHxLFy6+cDjztiXfwwWVW
EC5ViNWvwYbz8DZzZSw6FuTVb2/pOKD7JNllY4RGryqo6tt57u69FXoNaSYvwzJZfplaInc5SrxQ
SYc+bJXCeUjovwSvP+1v2Ur/rWf0wFl607xUX/v25aW/+tUce1D/F/JLOaL+e3Pp/6me67Zlnftv
cyl//y9vqfYPvKPkV1D6Ij+LTjZv6y9r6WoRxea0Ok/XL8pdj/P/dJaa+j9sSNYa3UOPoioljH85
S/kjrBMYKDDp8e9R5v8dZ+nrYvrf8zAHB/bBtEvp2qzYUt1cx9qbrZXuVUpPlgTZdFGtPqUyc27p
ZsKGsBdKRSh2Nx1tp7Ood9wHth39PhqE8hCJ5lKAot55hRJ6/cyXXpMKP8sbx0S5YlKI+kazSfop
1sYQga27xXZSgcOQv0u1/bnEhQykMn+JmkLuHA6JIaIrdNV6nZ8V9gpoJAgWfpvZ/my1lF6r+9iM
C0kbtQH3M3ogksfYVv2c7CLRXmhuqfgkQz80NngcGCgvBBmhz6PMQok9UIux/C5mKcNOzM65jqJ+
Z+j9HGqwpMNM6ehfalP/2+SMz08pr8B/+SP6jNAbJ3qW5pRSOp7Jv6BnvC2ZuCBHIu7NPdo+7FFk
ECm1HdBMvehbTdmSwFUBVgWZ1I8tm5LaeK5h5QfpCKImt8rd4CbyHt/qnRE3z1GufDdlhGqjS60/
yqSduyDA7qO8NcFojXuP3vIeEgrV/LJZzhfpVn8hJ//WV/s/MYMffNi7l/r6V/nS/X/wTa+OnX//
Ue/al9/pwTe9/v2/Pmrd+4dNaYMlhi947Rzx2fzzo/b+YVB8JQCAFDCwwx4L6P/7qJkKkJQxFUAS
8CyOaP/6qA3zHxRGmR2wGLO/X+2cR/bwz+ziR8VITiAuPnZOZq8gUVrdR5srcjfSSgENRn97rs+j
yV5uPGRCe2Xy+lBf2uHadEb5hdwIZdcPQ7pPZW3t3zys27+mkLeGxsONwl+/AT8ZeQjMU3Rkudm3
E8tkp6MBcC3258HU9vVCO9/RlPaimc1TvuXD9fCvS/FcX8+GFovi0dYHHUYHU4t053ioUfLm1UgW
GQqvU3Zz8xCyzIU86tcm1lBelk2rmfHw9p7yPnJHV+WeaoL0wmGppz0BkyLdFb20r0enzEySmQQu
WVGR8uSrc2kjYXaG+bdlzdlVO4/WfRRXYg4M7DrChzjn3SNPmrT9KCtL88XYI6hDYpSAfqFOiwjG
kTmacPwKiOVHI8WylNvNI5V+Cw+QU6UQzzWjC2PRj89OZQMNnca4InUh7ziRuM7KPcTcMDMjYRND
zG83F+hQACm2SplRJh7RqYewPBrz3EkV3C2fD4R3b4fSEYl5lFX5J02J44Fg6BwcOSNxOpp+2zAt
txE8sRNN3KN9Kft3VlLGAHpDRD3s/o7WMSGGUU9RjftO3Gl7JUYOvMLD0Clq7oMnjTbUFGvuIZfW
2d6LNe0Gc2OM5gwNbq71CIQBZ/u9C4UUeaPqndidHx7j1p9HDZL+B9Ibhx2bdfRFIjsjTQrHFg0h
3Q0aJDuQjxQV75Zo1TApMuX+86f+WgF8u7BzRVyJNCV4IBjQjg3FUzlZqRHNCnocTsNamVOtS5CF
7+O6EL/jnKxiVjZZfkfmgUPMgHf1RL6GnYZallqQQBGlnOu9F5VbmZe2hXDSREjOqjX/cqFwJ7tG
z5EmqrhzvY3aNKiAPr+FD54ZZyfcf2SHkEdx3P4fQDv0SD4ZOGr5sLQFhCczThHcm1eN/vd6Ra8v
iH2YawA+wPPNV374aStpC8HdcJSNmRvRVWQu5q5E7XhT0Vy+/Py+jnKu/7oWBRxzDe3htHZc4EhQ
xCj2oFDakKla0yJCo7PFqWPjJdKUeS9cOxo2kUfuOYYmM35ZrNa7neKZhJCyajQIzEWMvnOylcw9
w+yaP3Te5NzaGbJv38KDoG/UXuZWoEKpBDQKgvc6LlUXIhayYekTl02kx5hKeVtbDfBWaRDcEUpd
7xWYe506r3JEgY+AdPDbntxH74Y/tL+My2w9TZZb1MANlea8rjAlbTBLMlH1dr1kfpwm6nXHIEn2
MhHJuPv82b1KF46GNTU2shhWrQ2nn6P3lGN006lG8J4SUNC+pjdIzlx9pQ27k7QeEJi1PxDbemvW
X2/vFpIGk1BQ4L5pyQB6norOQok8GO1TW3vRD4iM9q0tMvvWsSXhllY25vq25Wz0ra3THOyTcHN2
Cf/aR3ywNB7xVf4aAGtBeN0MmGtCzuFgoyJLIdIqWEeqOiu31lzJCwNCcxB7XeqrVeJAO6WdseuR
7QaoyqcN0Nc2bBHb+osEeUIumrTPVcpPDzTBjGBUWHbQn+aAYj//sesDPX7gFHhXvA3zl3UMtqBp
yjyzTqxZboyrPo16YOdk4edXWVfOw6voeKlJGIYEsiaGc0h6u7I2KVDSSCBuxClEDI7qTJeaSDEX
lU3dhg7Qrk1jxMaakGO3t59f+912aV08YA68sif4JK2j/QP1YgnrEI9GXyYz5WUjDUB5zNemlcQP
dTwUFeVlA/DzWEzCVwxlShHFWsOJ3/F+vuMXoBFixl5juo9pNo6IAPuabGOUZBm2CYKWS6sWzQbZ
dU65tSLc4fMb/+iCqKuIFgbuRZ31eGVeKikNFUeJPid9UM21ve9R0a1ifyJ0e6c8sSa9H0ocN5n1
XALiKJMcz3s9wyYZ5h7hNGywoNEkOgq2c397wHIVtoHggOiOseE4HEo4dlHkj9xV0nommGIVbCtY
nxPb2w/vhXY/lCQ2BoQBHl5ldCEGzh73sob9gJfORQATvQ0+f0MfXcXRAXOwpYE/7x7dSxkxRUsT
UxMAaWr8Am2+1WMo/g+uQomfGRz4j/pOoROX1NNGpiOnGfARWr1R7Md+mO4+v8z7b5zqmEUhe5Ua
gf05emSqToKcXfJixnwctzjojG3DX93lZEec8VnP37zMHHwtr4wTN/h6B4fTC+Q2Ciks7IwNCrqH
b6uZRkNgBeEwIviPo4es73uhDNsimauwXryZuI9+gfwxVNvB/N0V3j2boMiPIhQdnz+FdW4/+ilg
RpCKrMdGSi/rn78puFiT3qWJOeCkbYbmVyww1M2G2SABm6cTURKvQ/3wWhxWOInyrEGQsRE8vBbS
1HaChABTOV28b3ztHtWMbJDA/xvUTT522dHZpqMKq77N4WC6RRZdlkYN90aLh+Rb049OdFPyX7mb
zKGcNrRtLGUL3DgvIJEMC5MicMUSh02XVdR9ZgnRXMuR24Bl6FYwpSp7fzDR/PgFabe7Tm2Nveni
bj3x2b9/rv+XsjNrblPZovAvoop5eAUkWZ7ieIjjvFBxBuahoYGGX38/cl9i2RXVeTl1q+45RkjQ
vXvvtb61wXqAB+mbyAi92dt7hc2TzUtiBvjvKKub1DLQPMrxYoUEeuatfL9uUj5sXTnAMbTuTid9
nBYqZUPjDrW603/N7SKvNTA9sTSD34RByDM1z/s7Y/bJJAwdE4AelCJv7yxw6npzVJIksaz+xpFm
+CZlYYQaY2TvzNd4IqbcahNuagNuwIZGsvdns/zr+awnL7GxXCRhZfZr2Olecynh6F+uXcVYYW30
/VxZ3pe68s37cQj6o26VJF0bTnn894vyfrnAXIAKICAcaJP1nexOmA3yyRY8vN60dM/QhYdDDmsb
pXG/2Z9HK1mPsFWdnZHXzpkS/f1Xvq3rdEVZ2z84s5aLbdQ104RQdqUd4X+1ac71KMs1de4LP13i
t+SjLfRoYwEhqH53yknqrBy0YozqYvxhNLYWJ95Zws+frfzvlYCDBuJjFncOoQ6zvZNnqCiB4tat
3kXdulHfNS9INjcMLSII5wrDn1U61sWmu8qPGoncVDxWoy2xgk3txGlBcg4oKpLCI8XPPUZd3+CC
lWVA/u2sJu8zi4EzxpixHMCsjZbjpN3g7WuPIv8uHUXZ7au27vIzj+vpD8V9ccRlhofqYZO8nzwk
SCA6Q4yTYOa7lrfpWpCaDeDjerJAkP77eXz/Q1mGjoZx03DrvB8n2xcJEF1arxgcNCS+F0rTgrid
jOrMDb074PCw0/RH9sZWvJ0RTn6phbRVd6x6CehkEi+qQjYa0nbCgaWgaHyaCqf2I51cqgdJi5z1
fNJYCrIqG77WgxzJ/rXkSsvHzU3wPFOr9ZGWYQGJhD3XTqw1dTPH3Zj0VjhbViNDr0klYGTAMefq
y3eFNfdC44GmAfqrP9rck5VrzuUqigJfZlU8GhCuvg/z6FLQ5t6ljWgJTjE23C016zHJJnHtmp11
Ro/2/lfjBWOb9TfdPbJI8+1HGOvKmxDeA69LpmqfJ0nHerGeyy364CqUgUhN+dm2C53Uabjyi4IM
OIaagjMLjn7nOCXTuczpP02st28xOlkQyQhMKKGROry9GcwDZFAQYB9hyCalIvUxuIfSK/sHbHfq
xZsHMpvwSd93Xq5um6JUTwTnWPMBNBDYAQozP6cDRiEUsvbPF8Pkd90Bz7v+W0xrf5OsSeXuy2rV
031PRsO3pJ+AgWWVmcPQ0Rw0GchOvSf615OMly7pbvVUb4h47UVyk2eGfG4r6GV4Fwn9IQtPqZuV
OYYf5WohG2CYp+qlAKEnj47SFVlEjZheoc+vP6pW5YQ3jH+AQFPQPFVp2YD5qL1z0rl3O5y9CRMR
41Ak8M93U9pyJZxsMggtphSbnwUG7t9j7lUXORqhxzG3AF6aQ6sgUAfZa1LTQGk4ZYgwGNexO/O6
n8gl6WNQlTHjY2vfzp8Uayc/qVEH4KkcFVnmPRKqiBxNeCXU4su5K502r9nN2M7YBHgPOGaeTu67
xYOwoVV09oLWGa9X22E85jYOnVmACV4ZzRvkLuo9u1l2nUkC2Bbx5Zl3+piaj/9eS9/fNuvopmPa
hptQJU+rDDVkSbIQZxWZc9LMUeIwseB5mYMAH2Y+/h48Z1AHNqiqi3M9N68YXxh0vDZnDVsQMTPM
P2yL/Vkbz+z9758PPhuqHs6OLBebRvDtT1IjGALJX7ZRqmw4MsaSJ2S4+ONvgLZtdcxFUJm4JvU2
2K8LgAkQkT6DdeIOtKtuDsi3+PeX9f8K7+17j5+GdWV7bB0SLk+OLyOBYDJN0UWSGDQwwUlWHGRN
UK3GHkiLk+84QfifrSYpANezWbwQaSWhg5Nx9VLni/6EycN8thu3eKjLpd+poCEhbDRXAh60cX42
9EE90qdKHhPHrsvYgnR2Y1YZfjYqam5I2Zb2aCeDlt6B+F+qcK41wIWkThE058zKucGTYH0rc0P7
XVs96orJdMZqF/hJ8gWhEnniZtd4x8GQwQ+qZ5/EAFYsiyCk1fYxx7eWFflB5mEXp15i6rEhHyhp
/MuE4cgSLmZrUAnSBfuVm2ImuUti7bb1dCXgBGo/+RmsKl/nYE7XfeNlzTfhsNrQl4brE0Iaottt
ur037Q2xOD+EF1QsYL6fj3FBO9HdN2SQMAmAMWbHsvWVHg1OLedrcK5VDpZmcb452Txvfbms+UKK
YQm4LHX16TJIq1KEkzmD0S8mmXTkXmV+cVGIQG8wXpZ9EOF8abw4AcD5NDTNoh3youjuR6vtn5Ix
JRdhZT7XhxxHKSjI7Stv0XzJLxabSBeT3lT+6sxZfvOzpbjGRgsTPNUZImM5XZsfunKbnUnox3Ik
LCZPWahad4j7gsl4YDWBigTopV9CakJFfd6sXyBx8AhbU6qZx8ExmX6UTTWRcDhUDLjl1K5aSLng
vbYO6UrLnASfHVwi885fWPnpEI/jdwk6ZIUsUaxAviT0bVSa3YLyZV2B4RGYdJhGXd7SUGq+ZrNb
PBOYU4JLQHjZR93IzA4CmY1z1QByggnWoq181WaiiKRnJfVN29eBipUy3ZEGdjLB3gGYchvUYvB3
a2NRPehVO/a342jVS1yVVUqlgwiJGCHM4oK0CwHJrE8GbpX0tMCApCcyPW6tgJ2lHkbvFxADjW44
vKyaVmxJsB0CfNeNEpKHjE/wHTxGdFZTeweG7q5LeJcGDssRfUlKAtOBWJQFoQVycnIj9HQIWmFZ
lda0NwF2HIm/7Lcvr1l3rTSkHheOvgJYxaRdxii2B7C9gS32GnggtQeRIR87wjSY2NRF9rXtO4nz
el2nb/iKe6IaERJn+9H1kps54cR0naxF9jSZhFx8GSdYSZFjdbD8gtIehwjhIFQMK/MbUD1eV8xh
43D+xhtLnEc0KTfor+h1d085gDIdO7Bp8U6uZve58jKO79Royy81+d5V2Q1mdfCaeXosa/KlIoKM
nJGPUxPONZFlFUrlDdepT3ozf6fWjkbueC8VNKyvqvMBJW01mM4ko5C82IZ0MKSsQfk46otrX5WL
K00s1T5YybkLskNVUouSN87aGy420auRHHRziDFTqxciQuBXed203OXK1mHXeP1oX3ZdZeqXpk70
4pWe4lgWXjFa+1b5oDdK5Bz3ZDol7XHuNOXGvMGBdRU08IRIa/MnCuye83csyIY5gFudVqzjVTfv
B/hsY5QJa+pjxgjtzVIpJiTg5wKghMNYG3FeYBEJjNTw9lnRzUvk+0v2U6ViheDmJ8OelBbv0m0C
7dq0aBhGi5Z0r5ytPK6KruCuSqcuiJn4UCaXfm3+SDN025HVaSD5mp7KJDSYztzMJFLtlnICdcYy
UQQ7wmMaxaSzKZL96HtZd9QzmUC6IJGpu9D1On+S0iRnzmlqRjyQzUorYgknEs2CFEL+KiAMZsp1
XtXhkqFowHJeNsSFBj2h1YkpLGbL3Tj8zAMUrpFpztYW/+BK/UKJUhc7YWHH8Vax/KqAXVV7T0rr
q40oZ8PZWWwe85AHRTQoM6h3pQv7hQypdYrremmhoJBbN4ZyzacyBjVgr3eN32evo1f587UTsOld
SB/sVOTImRkPOUvUKwWn5ARSod7Gpc62G2Zjvv5ewXE8KFPjIGumThqEymVCZYD0STX/MAHdeVj1
wtlnwrihE0WcYjJdeT0cBFHrtzWJLpqXvmqd91o72qFJmRgVoKZrXvdQc9UO3GpYl+MjCR13SjaP
hI8RBATxbSWPU3QvqDmPnBp3c1kSiFbsURoenUmPyNP41DrubeLqjC0DgEBGHdc8y77TjqGrgoOX
uQ+FqJ8HNne7G67A/RQPbZHfzst05bgktnpG6PTtzWq8tONjmdZkkvwwJCFRhne0+QvDgrdcQgiu
LRgTytt7uV/Gud0bfKvIdlcLKkZGsBVcwyaxvhGszmrb0bnuEv0TiDD4YRmBSPdJAxA1pEWhLpg1
XNFJ5d+1BOuaQ8JMNej1XZp4KtaFOOTe8IipZq+nvBhj3d4kMFuw+PEreSTgqOooNXvlDms0gP0z
9cbjoG0RYzKbv+mN18Mu8Q7tsn5zM2cnhuAmNR1cGP29ZdZPDhE1W9gfwlLz3u+Aqbre0Smf/PTG
cuo+Hg03CGt2uiueMkny3e9SpJce1XtSBxPjSPlkdOmNncG2KkhxPlhEdg0K7mSazw/1YAAH0AjM
sr1jr1tPyVB8J0MsEtJ04mrqDs1s7hOGPOBEmz1usa9KM++MjN5bxnRGb/UHM5dEY+ED7XyH/rUW
e9ymG2qreZBt9mBlRKoVPrg3YmxD9Jc7oVUpH+POrZ2vkzE/a+KrNRtRqhU/Cln9RMteh2pobmCZ
XqdFifAsox6qPxHORAqmZhyL1LC++Tk/vMLfZxF/dmlkTZwmy9W8bhmEEDFN/ScZ38mOyLufufVt
ZkY/O8snQILPFe9TOEIgWF39Ih0dcT+Dgp5oaGGm4F2fd7rf/rSN8mJR0y0tgYMjhBNaaUGzQPYv
pja0MfPQuyrvL1owEEB99Ehfx1de/E+tv1THdmlafOUscaJV92M/ixCY4g/CmkgkzrWCWSqEFook
5RGj0DY3M1a7615PvD0bs/+c8ejYR312bpBRXPgLfJtEWRd+11+XQDdqzwe7ZrehbGUeYra6dQFC
sWFbjFFzdZFQxxyyofzJsRchYd3/IpP3cfaNF6/PVDQM36fJhfw6dNAvj3MK2YJJh60nUdO2yTUY
R/XFbSztm4k65GdtVukSIctfxlCnBknDGoyEFlZGGnwOfAKaQoejIjUkBVYQy2ER9yrIRHAcZEZ2
s07orgetEVps5EIGzqGYVzlsQMiWX8ntMECXZEvexFPSBUAvs6m89XzhGrtF0DyrrG1vGcy05eNh
C/gVzAl8Iay9MzSrvtUPstjYASAAjdgejPxTEgAVI+NzC/zNNrhTNOJpgv/BavCqmGm/6jqKfjLH
BmL3/HpaaNS3Ba7PtgNkHS5NhtFqNi1BbCdF1uWi+8my09deGgC+QH/uNL9srZC7Nr7Xut18FmYG
E8qFs7kv04zGv2yKfo6MqkwSZCHr7Mei94meG4vsm0TiyLNrteKzN/FyxZAuYer1fjmzfEnNAUVq
LZgb6Atdwu8kBimx1qaKu6WgbCwz2RO256046baYRwEssaIFYvdCAJVlc7n3izYk1ixDFq0Fw44Y
U1gATWlpXTwKIktCfx6dPDJsRRniKKP/0Q224l+pffc+cEQDasd2XRn2bCcqJGS7rOg9d8ayz+Zu
tonB9aHAJjac3tnsAUunoppsZDyBN8bWbDmkLHsz1e1slvXCmlsV0xWcTORgYCOte7Iu9PZWsMCW
kU6N5u0YS6VXAaRDI7b0eajDieCB3wVx3ExoxJiiCwVRSRZolb0aAcaunVtKqFXSmK7bZUg3dcK4
MH5ElMttr4MuwwESwo3n12ztbiE1QgxTmJgggFIEvbNDEn3UedAGozXohruVIabY5cpYnyrQY2mM
7iL54omheXU00h4J5G2M74TaAaEC2Np9Ij1Y3pQLILNjPa01ZZkF3TfKxTbYy5oxKPYUm1N62Yo6
WGJ/TAPoTYNAl0ADV7+mFyL9C1oeZR+lbpDfl7NRX5Hs3D7DS5hudXd7dhdN8i0zh9S2bvKMpHho
dSCtRPduIrmV0RTRgVTnY5mY31i8TWD9xsrO7o8T5ZvtjEEAb4YA6VAkXYo2eSK8VxFnGWtF7k2R
X7tI6ZRpja9QPNs7UrQtXmy7gsZnFvWXGWJmQe7aNt1Fa+OgwEh4G8mLa/yvRYBQJ1yXzShcAas+
DtZmM0dmUF/lkoj5yKKRZcROkeSftXQYwWYnC3Pb3B2LT4k7ByuM08W1Lpy1n26Bp8GhngHvv3LO
IOjCt1Yp9x2BizeGJzKgO7WWvXb8B19dKHM1e7BvilgwaqcVX7dEmogB6pDHty3vjKRqvq9BxbBv
GjXze+sm7Q0ypNGIAgJ521Cj8P6hUTh/zo165WTg1YZPXIld4GhKfDpjlJ3dSIKKmfGNzhzF9nId
DS/sbb2y9hqOOxkGSGuGXbdOjnORdsgX7ywbRGHszev4g+aMLmO/toIHN52bO/7s9FIZLUd5/CnL
QwaKlIM2B0mSFgchfxuiSe5hsg4vsifRDhL3tjYVNA04BHV25oZ0ioLppphldtH30FT26Rbjtush
f8Kpwn9P8QLrqGRMNpALNuc2KOfCJPtvh5g+fzbSrHoGpgYqzIZnyZLXlT1zLLf+hB0CchPZtxSU
GvANETa0CkAY1isJcxaxjddkc2TlboJIDbZccmQHSqN4XybKAHCKHGo4SnRo1hnS6z9nT8/hFjp6
/9x2NpY0+g2eHrnumF2upBra2Gdm4jy8ggcgTDWljLg0a/dQe85VQcQaXtGpAM+MjvdK55TKfAPU
eaWP+ciLa4w/cjU1Tdgga6lCHsHhatA1BzzhiNWTR77gBe+J7GEx7wv1w28W1n6/mRMq21KNX6ho
tYEQ4oQqK10dxa6SOdndQtLmY6q7w1M7dBkbWFrP9o6OBc+EKCQbd6Dod8QSgKfcZ1jkrGg2VHDk
mQOF59aqg6U4lwu5esC0yLolmP7SkChDYzV4xgwyKvOHeF6D9C4jfxZgbbFoTKGA9BHFPjmcRYag
naBfErV8hezBskHNchgheHDybnS70AhPNoT3IghOTEKU0Pr3hfWMcKqu119Gt19/mcvUvSZpYg/H
VQnvRs5u5oUW5L3PS5YHRP8uvXwgylmCbRpyHrGkd7sqLmwvFQcO0VuHy9KLXzidIE/ims+XeB7o
PoWA0sbXioWr2PCnkHtsJYI8BgE16NQTxFBa1dTr0TysI0nv7rguO9qoHXEumpvA2Eia4jPtAFu/
XNi6QMQKMiQOwitXnKt2+knS8253hIhT3GTpZAG7pOXv8Fyxf8XtmKZ3Tt/xMLjDRn7Eg2Dl8NTX
0QxHbV0B2/VG9bWWo/PT0Nlk2J9Gk5rZ6tjBSRxhzVvz9WDDMP5WlEFt7TxFOOpSga+4GOul/EH/
0b2xVCmhVbg8UyU1MRmQVT9/9+dS3Ewp2YwhcsI/egBCE/6jtIYthpHR5j1ktMcc4mTQZhar0SYF
lseAxLArVc/qhsPxGW3Eu4kNFyFoB4cpwwqwT9v//9eY25gCpsgNp1OOnjn8WL6osm6zMzPsd7Jk
3OWkWW4uw82Xhlvn7WVMzSJksxk6wljT7mYxXI+dYLCfG0Unyswq4woQufXJamhr02tvdqRuPZqj
ok9AdXwpkInFyzBw1LMpqv7dV343O/3z2cgwQZ8N7ve0q6ya1m9qyuFo2dpXJizvvdMm941fqN2/
r3QCRdrUmsjqUCPCW8E3QdTM268BhURhgs+Gi6hmaHTL0Hu/g9amcgEtt+FZ29jZCry2cOXexTEa
ybFMX1YDpHiKYtoB7C316yG1lt2oyubSlzr9roKmQ9ubydOZj7v109/02/m4HGtRklvIyhnCvv24
ilk4kEVyTzQ7qy/yQjAl9YKBqO/BPI7kpu6zSsvjggXn0uXD7ygmxstcT56DmogM2IrynhZVysHG
0m/8ITVBEtZ2hmDfJ8hUGed8/x88zZsPEN0g7DfmBCdDY6rCRjMWdDi2FohfQ1MFr1lHMui/v5cP
rmLCPyKhip8QAfPJw6xbfd0V+UBkgUzyaxq7MsaiMO3/fZX3E3DG+LTbSIbbxt9kBb399jl4BK2X
E7Dsl2YTdj4eevTE/U+nNk0mIDD1G9V40dqT0J10rXsj1NZ7r80aUy1aWW3vKtI1SmW0hwVbvh+t
Can0NP2yywqD5GFQvvNgu8u8g7V+jgT0/q3i0wMgRMqBdoWh3ttPn7fm4De6wECWb+m0sFNpV6IO
HLDAnnmBT3VI21vF4Q/2r47oSX+HNpkhuMoZl0e3tt6+zdMUGjEg3MV0f5CNk597i7eF9+S1sOFK
EAG7qUUD5+Qpw+LOYd6ARe86yXRbsDnvWtsWO3QF/RFpjrMX46rfzx4EvS3MNra8qT8wo67v/v2I
fHDjyCNwlJACi1j/VDOjwzRSHr3qyDFG+UsrhgRzy9zsXXpstN0b94z04/1vaqMlZVBJs4fh6ak6
WSW6k/UL56dg7JtPLnzTr7U7edezXRZn9qWPLsVusS3N2097qjLxtYy+wkxjmjY2ucSIOGRUkjxr
h00enINJvH+hOdDyNeouQTsgo070BJySlGWxMWGDwSzl97Udg1zOzrzQf9SVJ88NzjaeULYAeDWn
tmgos4VfWDnKGSUTJ2oCJ3kmDoEBHsEoK0aq0jLGiE1EDXfGOhJfYzgIQ8KKKWwVe6Ui1JkEa3Fr
rvTKoeDX7idz8d3HaSAWewMJr6Th4K75sk66O59Z9T74RbB9mcgF+O2RUp58SVqX5zQvsg7pw+rE
kPK027wxmuvEGN0v//W55s+D8ISIwDsGqunt2iGmpDcWfwtbBVF8QfDUetQMkI3CYh5ZknYZ//fr
/am2WNbZ505xMUXSJt3IGTAawZwf5jEdQ0YC/Y7oaf9TvmIaOrNivd9YNzoZ03WKLoRBW8zu31XX
JI3ZMwb2qQptNqcAM3kowNneeL3hHcqhpK02pvJhMXwiJ2qiEs7N9t8L4VyEOuj6nK0eCTAovv0E
NidwiRgWSots6p9ZYQRXRIsFtIaFBpE1XcoZHjlRj0C3m1L/2QepPVzXnZ+q0OI1zCInTdWyI7rA
f3aNolFMVnpAu6L2GIn4eptonBsXg656Qa4po6Uq++HlGTqBIW/sbtf69uAeGXfCTnMWUb5YFBNe
aOflom7KPKFNzbQeVIGXd6RxEMwDEMMLCojJY9lpOVpwJW8y6Ql7t5HDH4xxRcCFCs4l9XxpTP2K
2nc7oKJYcgjI1OkRInZIv4xjYP5e54SGepHZz0Mu8ilMxmL4PZBX81pzkfECWYgiZbPE1xiRCuj+
wrlpFJDEfSVim0Nw8Dz1skUVaUrHi4KNQRCrZkwEo/E5f5FmI17ofsi7lEOhHrPLyy/ZKGnKEn3W
IRWm5Wfu2wFx2PVqLVR9ZmrjW6LgMrI4aRwZRESwV1/7vESGSh4MMBJ95ch9MdNd1rDrZaMW5esk
j0NHgoPt9e19uiAB23VGs76oAr1/qMm1Mfb6MtMQNT2Sf/BFTjkNc06T4eIz+iYnoBPPumHPT0TF
TBqD4IKZo5hcg1QLpAwT8WUOx+leaX4TVtpQ8XM0uXELyBhNyNKsKo2RjFdFNI1Z81DSD6PvR5Py
mrsrfufdRB9QLvWk7YbRzn8DSxdHhPU9vdJUZY9Faq1GWMJJvsqnagjLjowfMgtsBi4yEDYY1car
Xo3BW6NcOtPjv1//98u/C7oXPaiO5ncjlLx9F4QySdbIMww9jhp2jPbNnTvjHfv3Vf4s72+Xf2pF
yjhEUlwIUOLby6TBVKPmYKZbL6KPB80tvy98P31YM1g8chzfIuOrbqe0RIHBzvt4QviLwrKD6V32
3lUBMPNGUmpFHYNU8qiGVL/GAoc0og+6WNa9vOSgTha81oq4nmiX/PsW3tcbiIFRim2Fjw9Z4+SL
6pKms3nL6qjOGwfsZ5HGjSn6y9TSGcFYPDr/vt47vwKmHPxWXJEnlcv+AX3+dTqdiT/IfJtSjvDs
+/XC+Vrt60Nysf6uLiG2Q3Q8c70P1mVqDdPBnQO/kv/19idqi2YazZHorPjb8f7X/fF4CHfRxRzG
n+fwTIHz/qHj1v661Ml2yvSs1vuJS6nhGYBkSCfw3N188HO9ucT2Ef769paUVZRkyC662j/uuZXD
4fD74erzmRv54Lne7gRtK2Z+n11t+1L/ukw76ymCWy4jdsOTugYFcTddEBO8VxFykmiI1QG1yZFB
P3EMd9o+ePn3r/a+MOHa+Ms5i/ER3nnmaM2QNKYTUmfTiAxVMvlH3qVu38vVP3Ov73+0/18CvjMF
3Dvje5eMwA2FzPHPmOnzgBiboj/4r0YHilHARRumERjJljn99gs1Rc2Mdulz6sS8ehRp49wvwPh3
oiTD5t/f3XtpMtfyIQUFfH347U6t/Ks7K3txRB4hTB0vFWqZqJ8YZwgkKBWjJz39VtXaHBc4QUhQ
MrMxBlbpnglY/egnxBoPytGl/iZ/4O0dM75jZsAPScPdkDuGjfMRQv+XoM/0M0eYj35BxgE8JTTV
AFKdPKyYxorWzdlJCzBRR2TK67FTZIGc+Vq3zsjJWm/wTNKHIH0GB8nJQoLQxzcnbygj9sJpPHhr
SoLFkgUSLY9FomOrBcZjK0tCpf2y1l/yTvcf6rrLHrLUNkkS0VfaC443oFSqNmGKw1xNhl0yB4CD
hfzvLQ14gvj3IHRBbgpOsQFEiywLOqStDQg+jqRzEXltJ858+R99KyhTPehcrBU0aN7+zKMeDGQr
gYPO1qm+TtzG+5xZ07CDMlE89TyfFlIHNZx5uD74ybEn8nNweuHkcmpR9IWnBZVFi9PJRucYCK+L
Fy+pz9zbR2/S1qzZOP10VGHVvb25nAiemTkmaRCNXZiIZstCkYkrCs5ktTuQ62J2mblLrLTGVdau
aIz9opquoMLq59IYPnifTEzEaJXAmm8eu7efRcvLwfijZeawXBAUQxMZiSrJOGafxf9+1D+4FM1B
rITUlRv7+eQgYSEyVUZGIK05eN6+6VEcooy6Ytr335XbuE7AVEDz93BnQn19e1dYdCeHep+1ylo5
rK8Twixs0t0njZ7P52Ky06O5Zv3nsl9dgldM5oxaE5yJfPhz+Dx5tbfGH4dg1ir6ISefonMVihuy
hSIlS2I0FiS1N0672MjHyWaKNT/73avM2qVpqR80c84/82rZP5VPpBaqE4N/kBw3tDXW37ayj/2K
95N0s1kcksliB0MToiasSYyWi6rKd5O+6ftqUXxRBC+f2QA+eCWBciGEZ27G3nYa25EYAk/wlvhk
t9byhTmH/8DMciJl1y92hj4HTwAQsjPf4QfPDK5kw9+i2DAo/+l8/lUxwKZEcjyz6QDeQLcxGsX1
MAqEdH6mnznpcqjmqTj5vRiiMHqAHolv6bS6Z/RcZnVWaKES6GtCBwAzGbQZ55mp2Bi7+tQyUR9s
HXEbou/yMS/XYKenlvjcEDOKQMCKl2DUrvuRZCJK31pP4sZYi8fV3VSJjqxQdY6bqncnCpB0B2y/
hh3pSWs5lynU2O9m2RrfO3e1XltcOvVOk4t5O6Fy1zgxOi5W44SJI2ayoYbrYbQ6SjWl6qeFsC7K
GsBZboifWLuTmTEXkTEG1S1+VverRszbVVt2DsrpRFe3JVmNbTT5wrhFHp7K2J5gmUeeFN2vkfg9
8vdqs0VgvRAghLxX66qwI2jocZSO8TylqvtqIRcnlK/zuuVe8/wm2ZssZ2Ps1UK7lHPHSJKJQUHq
WrZwWmfge1/pqWuHOPatBAXP3JP1Na6a86ktgYjsUps0unByUoQmOHcumc4hwxTpIm4yekoiRonT
JfGy+ANvkz/PAcZ/nU+9NV58rDCW5u3JzUPbF9Qop8hK85DuuUHDyMYx0y1lENV3AhLEA+WdOg4x
Ssug1aRdz8vt6C5E3C3kAgvSnlxBFnWVFl/6pE6XmKF0/91ta6gZPUt3sfMqTGKhWzX81aBRK/ET
ptNfI5jytbhae5Kv66SRXTSCjc/32pbJhLCt6DD62t2kIl+R03tY+xRhIeL2tY0NpgWXc1ATv9p1
/vQENBuxlcacTMSzKrojMThefV2rCUQVOfbMMums/qRHAFpNDHpexaV0s5tpzF1SlnGO3VQiWMzD
gDQLCZzSEUUjSfV/ZXRa+G25tWuv081uZ1djwLOqysFBuDhNiCaBMJOCNGstUga7U/Zu0Uv/J50i
VV725tKbkVMhw3HGbtFA3abK2fnavL50Kh1VJPVpJr2HsRDigYaSMcyaHAmtCeYXlYjp08WYnSD9
pMvF4iG2E6vBGNkviG1Mppi7VnerH6wodNhIfmm0cJ23r7p1jUkeyGuT9c4oTdXtiVJUYjd2gxAX
CZYyYHrM/8BtikCs+9qdbcLLm3ZyL1ZcWbRrBoMMzcnPEK/zIJL7RC6xdbVOGmm/Qi+Xbz0JUtOl
Y3ZyjLTSrTwyurfZUEOSYEdSVpBhZBZA7kKvr4ItLjUt18Myqd7FEGq03S3Bh2gmA3TVxUVZJzPy
FgLWzbjsc2Kh1m5C3pvy+i67ovfnh9QDunfBLmV7Yd7n8zUZeu7zxIb1PcNW0+9KNkmEWHUg9BhB
aGfstNQdrU/BWMLSyhUJmwVJrj9zqTePJMhThnuD4bTX9jCzUPb6yMNSuLR5dv5kk1/i90nySrCx
/DJ4pekjWZm9X4K6A7fbNJTzrkGbej0bQOdfJp/Ra2jojPZwFCTBC0LGBEXPVNw5CGyeNEuZ91k9
c+LW59LZ1KQE52l+tSK0cKRxWYx1bxFN66Y/F8z0T+gi2i//ri0+qNwo1bFH4delb34azOLgtHXq
lZMdKn0/qiifbmtNL3/++yrW+8vwt3EU0Q7kNIT97G1d4fopjnLJZcD97NZYxmQo3lhHUCCxFTd7
cRPcGgftvrxQF9keMNA+OLT7amfsYLPvMJiEzc1y4e/QMJzZJz8Ym7/9ZNsn/2uj7Dtv7FODT1aG
hJ/Gv0Ci7X6hZQkfyn0eY+g5Uw184Pl6e8Ft5/7rgi0DhznfLliHr/fh8SXaff7872/7/d7/9gon
5VO+pGgGFVfQPBma4joFbCWK/b8v8tEvyijHcpk/kst9ah42pCWZFbFbd4wgd56YWFCs4JxD7oNb
4axEnU2HKmDaeXIrxYBMLoMJFJVaRSKAdEi8KVR9N3RtG//7ht43pqDu6dtEmySrgLLp7e9SOg26
enguCGdbpEVpT1+7m9z2dU5W97KeSC4PgSMMj0Lr0/nCKVLt3KOxnRne1lF4APFocrxxYHX9eYv+
ejTQGf6PszPbjVvLtuyvXJx35mXfFG5eoBidQr2sztYLYVsy+3az3V9fg86sqhOMgKJcmcBJnJQt
RrDZXHutOcdkTkYm6arvm0T9ghsxJyCs07QSvZkVYPkh/vJ+QGjyTYkM+1LpseDvPIJvIX+iLccL
IeNzD8iJC810cI54mQHa+CgPz0sZuV0zgpRDTyXM5wmNCTIrzuGVXRYkDIvcNH8OXVYZKMJ6yjQ7
1DLP1+MBIVenGvl3K1Knr6YdGxO5m1Hx/fPLdmLMAvty7vKxA527DovGBv7kydF6RPVaaiXFNTMP
tJlCaLjHigmdNAra2EK97QZO49eTaN+tMXCzTVEpVotYW6Tf69yN7/teyFn7rU8FJWNb4RPXpNzB
pScGGuYBpjWnrpV6p3hRurfdwK39qKqxlNRdXYkzd+MRuIspKfoVJoEg8dkGLcGahZRhh1cS22qa
Ms5P29S4KQLRvzdTM9xTVlcBccy617HtnKqfhWB1hSxYmY9KNNpzNoExbozBc5W9paXdl8imo+y7
NTzAVYFBwtx8fh1ObM4dPiUDRag+oKJnGunf1zU6Z3U3ekz4slk1A85PPrpGTlykU6SPou8mJLWq
9lOmMn6L2CpvcRjp54IZT32KGbwzh+wZKBasxV65q8DvhPBjaBEMHrmjBcKs1dDL+CUzqL0A6WYT
yaplavtxJcdhk9OD+S5IHfhx5nzM993iYUaDhIeWDScvviVLpc/g+aUM/FZW08LjJIPV1+GjXoW6
OV4mRuXsNbdWN2kRT/dtEo3P3BA4c7RUuXOKIFgPdEA2jG+nC3ZS6dbTAnvHUNu8aZnUn7nb5mV0
+VnhEaLNYqGFobB4xlVgYPTMeIZQBJAfWwc5yB3F2IIACFfB1IgzJ+fEmgIDGooByJWZhra4Sn03
JE4ejNnKZix0i2C3uqjbabw4cwmOfOiEGDhzyw0KCeLM5ZBb1mHuJSHhCXGcMfCZ4+FSaEOWgm51
VGSI0lHYhe+ANUedqfbF5FuM4L+FUrXPLKPHZ9iFfw2cf97rA9hZvF2kk42T59KXazuv+xprBMaJ
rJ1eLGkZl4g04+fPv/sJaRMLNqIyjd4DJrAllNPrCkaJBqOwonFFsGVry3SyTRX1V+IOMtrkjWf/
tI2q0Nk4ts29hWXhl53mDY4uu2NK7BileQPwgSBzDH3gPyRKUVbWcjZfIdypv4dZEz6YcnJ+NIOt
jpsOl+/Z7vlxBcD3AIMyA9bg1iwf6DpoSqMpaPM6vad8EEs8vPKa1h7qhB5BHWXmDUUnEYim2a/b
xEr2gesMayPD3+ork5LfSy2bLoA00RqSgXOm8XliveHVQ8eMy8qNDG3rcNWbkoZApojBpkhL5KlG
ECn9zVSGY8sbxzF+Ed8svohuCF8a2pEI4BtFv/GmBu755xf8xHnSab7OqjwIRhQxhx9E6Cop5RPZ
0O3oWRctbitMWK15Ref9nJrzxLsJZR6qWTjIiLOO1Fm6EU+YT8Azki1pb9XRbS8LaWePlpPGjxpQ
mc7n8QfZruWkR7uauMtIB78iSaC6cIqm36PHLW5Tr/X8lAj7vaIk8kJj35WeGRIcr8E0wOhJM35R
KRKW8+A2Qp3Qgr9cTcagfjNG0eIjVNurklSIa0eQ1hwnfbVHsWqeowQfd/049Kz6cKkNmP4sypJO
DYxGGqSMVE7TTyzkkHG2KXpPPHAg7Jkgu/F416phfBUksmX+7tTejz7ph2dP7YVKsJ/SubjZCnFd
xFFREC2RO7af9RPiCztsNOPMS+B4UUbeRgIPqimV9KPlEuWIXsqIlXJlpG52TRcjXNtaM/1/XBKX
xDvCM2eownLy5tVs0bseX5Iblv1jmjt4b3kxvY9ULfetqEc2w4Fo/YJy/Ayg5wQKhPRk+pNQQOYs
qaUIzUbwnimDm64CpkQXFiCgK2En/arFh/ULaWGyGb0yGLfYkae7zEMM5yeBUT9jYbB3cS6ChzqV
zbn+8KmPxdzdMLldyBMFQ3n46Ia61zCdK7MVvZLEJMwxCB8JFMASlnoG0m09+WE2FqafXGcRawrt
qUvJFduAZ3L2QZ1XuPFCcU4bf2JBof8PDvJ39BvN3cNPpYxoK9MIn45MyBLL6b9s6BNa+9RlzvbH
axebSKYbkHKAqy+HVvakGaBZArEqPSAUDciGtR7H6U052Of0Ds68IB+WOrPEjsCV3wsCEuPDrxUF
nQjqyGxX5MyZ0x02wXzjMUpM9pEWVgRmdh0MzKjCuKWULZqPhhiXm0F4xmuaNPRnylxGTzUCQs2P
CRi/N9wyRF7l8MO16Siz+y+R9aXjJNOr1A2A1x61joUvJ1edW7dvDXvbIk15Q8+qvUJZEa8Z9swX
TdF+6l6lvmC5U98aW1wy4cu2sq/TfiO9PgZeUkhgIUFaD74yiCbcEZYu1G0Qt8aD8IRqIedS0RK1
Nfe/3xox1iP8R2BWFDKd4MlWPZO5Xsmj3h8rL/jQBgySu5Q8Xo2MOJp8PpB9WDdlkZNqEQ4gN+ir
ZSGTNSe1Pjzkry9x0Og1vqZw/DHYnD0/GcZ2RDPay1drGqEgaDkWLb9UY4VyobVrpH6DMf7KdJaT
nYmkZcJYamdPRmjb53bxx8suUzK4QzPGdF5fFg0D3O7Ys0yaoZzOYM/e2VybBPVsq9TSL+CWhFga
R3FmTfs9FlvcVGzcGfDM1LZ5NHl4U6XD2EnRUIZ4E246C/nXtYVL/l4mqk1fdnTstcDIiQhP6S8G
ZltrZpndLjNy/aFRPblFNGbuQzxabOfU2rsuwKeeqUB/S5UXH3JOamAwPGsAKA0XH7IaVD2OZq2d
lZTaml5fX6xdbvWPbqgq9sa1abWbaFSNLxNWmKfJLWMdgaangCZRR6vxoe+MEP14Cjy/9GqsxqYn
52pQqEPhd6QUUIhh1bsxNNJdUMw3irLWLFAW8KRdakqc+fG4Mesu9i4wp4VfnCQt3vGATvHKjT3j
PZbs1XyZpsldM9nBT9EWXbcNPXu6g+BSX/ImjEz2UYby0bb4Wc69teenf3GO5hblTPqby4ZlOWdY
Qa50jBpIoFSyDalW6Zp2bbIpEHa8xaHT36IWdpFkMpgxKN3vSmrM66y3x53M9WhFBBTjk89XxxO3
NNM15OczIwpl8KLERNAYuoFdi5UplW5dA917pw1EPG4eEv/EsI2pVnROr3u0+pNwDesQDR0oOzYS
i9U/EDFeFDgkqyZT8n3gkIKHT49qpnLOVa7H5STHcnXwinOmGK2OxY3JG5axiqUxrC/gSG2CUanf
GVxoT3EQJW+K2VFPWiFgeGaswyOqWXImaFdbN5EutfdG137ZTQeBcDLkk1U70wfwyPYhaVz5+vmV
WKReYy5CV4EQyjJYBQE+/v4mf2vQsQloHVHV1cpQiBHYybCtB1ItyNrYmlo9xTdagqFkXWlVAdGg
kcEA8GAcGHO6XUSrFJSjXJV0+Ce/S+KuvMv7yjizJdGPtpp8SKb3zO89m2bM0tRS8GBw9QxMz5OZ
fh9pV/2arBx9rpfrwatjSaC8zmhPP8MqSV56qQI8wspNsVOgnjdXoYZtjxjErEYSqw15uFf7CgfE
0AFO3MOhpJL3fm8hW9wgO74f7JLQrFANQ5hJiSiC7VRtdDNjgOQqqBd3nlFK80y5etxId0jFoVc7
I+bw+C5NZabTFs6QIqMRfW7u+0Rj7mLU5taNnJ5+S+auAQL2m45G0Srq6F162Gjx3zFsPnNbHNUU
8yeZaZpEj1BbLk1cLS9RI8P3ymHyby7DUGLYxS7SlcswDrWd3o9btCp7Z4KHWcucsVp2buX6vXof
rFy/P4ONusgyTZqHi/1fwPJZCmf+DLoYbocQxSBgZN3+ZoemG/gizAlopcvrh47KwCkEEUM4Mgkp
qB7uZ3nJWkSF3A9F4FyIMFJvPJM5ZNCp0XUzWN02LoIaqM447rLaIOwkoLXHQE3Fxp9mG7s0my1P
d7jJ6wZTvWjrrVvAQyCjFVx56epXbtO0L5+f+ONFSkcSCbqITS8Sf3VROJNyn7XCsyhshBc8SXXs
N23ZOVvYsvWXPz8UJ3b2FSJKRCFz+PKEZJM2bYybrjMHBs6ZPW6rFh84EvbyTNvqt1rq8FKyAUP+
yCNMEAJX8/BYraNMYV0nvEsLCRe3HiZqNiwsGX2ItZZG0GBLr6DfDm7J79nnrDFwj4Tz0NYZtBkY
poyTrzq1mvDitt9UghT3ssywkA9l/aobaP1jl8vphpp5n0e5ckfzW7sPSZUDnR1XF2bdh9sxzbsM
FEOh7g17qvcFaSLX9VRW5/QjR206Bi+QU+dYOtTIDD4Ov682VZMDyT9fpc5kf6hRkRVr6EvKfRqg
J9nyru6VXTYKguEjmmjxBRtksJUh82EQUmMYvlOY1OaKc6pdjG0XRr5WWBbJuIOpXlSai8ugHpyI
iLYqs170tjJ+fn53HL2i+QbkAfEO4/GjI7J4RVMSNjKSRLnVSR/fal0w3lWdM+w9qadoLT2aJDI+
t+ycPCi9Ux6A2V+yBBKTw9HGJsFK6EqH9p5tXAFOEIgY7D/7q0xH+WS2bnVGnnusF+erUuciecNj
BUZ00deIS7iH9PkwHRppeUH8gXZRNdT0PooV7zJITbL8+AcbDAUO4TTzbAY1AnDRaQ3mhUQ51/I/
alvwgbg7aCgh+qdIWiwChgmAcsjge1oxx6oZ9e9m0eiZh/JEkUJw6++vzZvmOFvKCuOq8EwoHCNg
/0eQonniq0Hi2uuEedflFA1IFvJRTD3J6DKCQ9tHA+qdrh6fKShEsYF300UbpasQyMjQnQKfdiIw
VHajKCqiqKLh8vlteepizU4C28MMYfP5F/clvYY0ZXKJRnxq3GsR5+HzpBMPjpkz2reesNZBmpu3
JWC1+8lENAlHZry2m15sQU1N3z7/OCeWa9o+tP1pUv6OPzp8zjsZDwMgt3ylxV3yzU5ywOChHbyp
oUdJ9fmxjhuzdLB4G3KlmJ8xBZgr/b+VahMoAZ4NFpXQC8ZNFNuXeOu2dKsHmBWioDccf+O2BO3k
QpDIs92Z48+L1mIR122k8ibL2pzDtzj1RpYiDwU+s6qnJH9MrDramFBokH7zVqxkMrxODLfvSIDp
NpqozJ2MiwZIVq4/icGazhSFJx4S9g4oMPgHj8myw6I0fa0VRlSwQUGVE9qKdWFBVz/3kMwndfml
5/4NYcsMvMg6PjzpjikjPeo9ZsVseQk8csUXfdKbr5oXMnzUlDZ3toS2g3ehdeBAN1RF5Asjzfhj
Ji+ztFDDhIZyntWbz6/HiRPAe9ukQ8+MmBp+cTmizlXR0XI5QovmYgt89cpOa2v/+VFO3OEcg/ML
gAB18NItjD9ncsyYEJ/Jhfwk+5govCxBjA0U4cyzfeoLIdphZ2aSG4A6+PBUu6XHhNhj2SMnwbti
B46s1cVc9/j5Nzp1GAKOESSAyECFvDgM+RNQ21r8SKVEJ+sK07uCTHMua+vEeaP5SaOcm2aWys6v
ur89rGVU6m4b0+JMtLCAAKeKjaGYeY1EV2pnHoVjxQ96Qnb4vCs4EEKPRaXcWAB/IubnqJ0GtgcK
tNW80Yq7IgdjmpUaZEBpyLVblM6NbpClmJaFsgpC07tjoqisO7WnHG689mFE+HWuA3HiVKBw5wMy
xWZ0t3ydaRWaBXxaBSxQEp59Zlbqhy5D+8es0HBvpoCacZ9gXb6tEsMsN21W9F/4Tcw3HW64AICT
mgvfdUbIKYbOG8tvECCf06qcuC8wKs+KdLQXM1R8ccXCmJ4hssMVPYtm3+l48aVx7tV+3BlnwOSy
vQNGTcueX3V4FLJcPCSiXUNMVwPavx8B41ayW+skBKKqjeO1A8rrNilFdFvCys3WMM6jb6ByX6Wm
GGubHva5NW6+4xdrHOGSJKwzkaSQWAb8FH3ZoGY14SaVzvBQme2MoKvTXzCc5dYcpu4CEdFGSfIP
whH6jTl61W6gLXRmQTu2uuM9YPc73yVoR4+2+WobKGhCVdqLA85Ohkm/vKEud+Cqsg3jreS+oTv8
pQhlC5UXNmnSTxOa+OE9dfUHfYDR4za9+atRaxgjaGM2NinG+7GNQKVUjnPmfThfqcOzhu0bBRFt
fv7LI354JUHdelZVcBEVBRlsK0r3Bp6qd5UZIzlIeMt2Sja4ZwY+Jw4KeJ8nHdsEtkpzcZPKquiF
1UFeEoFk0QeDdQONp93VYzmt6kAp1iUTwtXnK+ZxM5hQXm4Q4m14fLG8LirkPrJT3exEvRqbXHyL
uIkeS0RyX91qMG+hPYJFgwDnfSdWHcAs3RZdWxUW4CvcyUH2Ykdt9ENAeLlFRUBUsyGd6VunF/br
mc954uzM6hRUN+h1KJLmn/9t0a2RQdSJVdUrs0f7zEJPrF+mmfKrqzdhzjtLz39UZjLda0o4vk6A
6GbruZm766BqrU2MVF+/KMs8TzYN1etlEyTpB0TGHL5RMgJ2/vzzzqdtcQdxt6PooXSkv7X8uE45
1dVQ8HHjzGjWiYohOsPOtVWi3HgeCmG8OW0MTTpCifb5kY+XZHgctqah5KFKUJ3FicqwkM2myHmm
oA6UkGF0G7Z0OTpUtWfe6qcOBcplHoSxEcasd3hNoHvTFzTo4vTY3DeAFD2/cpPen+DbnvlWJy4/
LxkQK1Sps1JkMbOICDoMFZWZhVOCB0W8Xro/pKGHl4qnTpCAIWGjBTca9VwqxonvyGMxO+AoXOih
Lk4nSK8M4KEKuEVr6k0oem9dmEXqe2YfnqnHjsWBDiIwxCjI6BB2Uiodnk+3SFD4AO9Ggp4W7qpC
kf1RNBj15sxTCLfpaLCB1vEnetvRCaxh47A2yYsqsyHqKwogTJ+KjthZHEUKfNucKaWdu1G4gorX
6PtwlAW47bCrN16o18FagZ/6VtlJ0fg90nqPlASq7zNrzIlrx6h49m3PWWvcL4dfq6o9VBR5UK3S
0YpeqEi7q9mAem0RRvgFdYm6zmWSPHz+GBy/8imX0Pqy6WdPg1b28KBuSGePvBYQLnUZbCo6or6R
DOqfl2cchokAkmJMYCCHDg8zat2Atc7DtR1POhaGyX6wR4k7HbMK00iGtHvgmrgMzaq+rFSr5oZN
iBKem8AQJUEUUVr5UyyCnTbotKA/PwvH3XUTSRWNKmQvM89g8YS6mcn2pVKx9pBv8GZnEYYE0ETr
yYbr6reZHe0+P+CJehUbrToT5NgTccUXDQ6FBI6JlINmpUeu2kOGtr01mQ6WB7JHk94qiQYMBhHp
sqpvhoaz7bSulrD06iyDMBo4oV+IzHmL1Dy9iwPRAazssjOt2BOlGrfZLAQH8zBzBBbnhWU/7FuF
WNW8rI0NlDl7q6toKxKII29Uy1GCtbZxiXw260srG4dtI4hgBDIffkHoal8xmj4ngjuGwTEv40px
laj02P4ulppcKTT4wzrgHsJ9KvyTrvMzraLkW2RV8qNMGQhvPVo0wSatMKFs+rLrHmlc5eU2CFwS
FDJGKdAj4Fa+Kk1rvCN5F+baFVJTV6NES6wxgPh55oIfV5jUlfQNuM/Ia0OqcPgEDDUiN7VRFYAp
PWkjvcgYMk3WuNfrKd0g9zWxNUbjVmvs4bb2nNZa92plvINEtreff5bjtXpeN9GT/a4QGNAdfpQK
JC81ODBKEVbfMflqV15n/BzGuj3TVzxeXDjQjLygecpszZ1//rdiRImcOCc2lAM1Q7DStDRh6svc
4vOvc+ooKJy4SyHzzDPww6MIPUiiumUzlIqIm6Iv3M1Ywn/+/CjHJ42UIYYF+A6593iTHx5F70uY
ELaWruKobFazYHILCTO8FLr1/vmRjr8P8wHbYHGYY8upig6PVLNvntHzRMOmRXHlmRY9fZIQNp8f
5cQKhKDapI84V0GUtYuVvyWOytDqAD/ukHo3cTUOHyFCkXUjwDYN3JqvYdYmPp5cUpM72a8yrevX
0FfrVVg0TDyh61xlYQwXPu2cM+/447ONqEujkoVhAvFlOQRirqAFQZZhPjXr9yDNdACYwviSuGn7
duY8HD+YMDBm+h2DPrTLywfTgP7DEpIqPmjClsdPaqmfaLq4RPyZbIZkJJ1e4Z22Qg2rrwM7Ek8d
Mp0XSmf9jykLTPownyM60eDkoRs7vPRJwcZwYFDE6y4m506V497Ww/Tcbvd4NkN16LENR9o/5ykv
7uVQ6Sb0RoAYC71Jnz2KAD92mc+AXkbEYqoJHQqQ+Wnbd+8Gu8s1GIz+x+fn/fgKo4zGfMMkjLk2
hJ/Dr4qNGb8jryz8Dna8jSY2izQ3Ohj99bmzeuI1xndkR8SbDNsFBz08Fgl+rLk5GYZuVBIHZJXZ
3K2Ps1a76kurANYbWdavrJRO7M9FzM008XpeBaqJeMokmZa8LrVnHCKFmzhnyr5Tn47TMFfNv5X6
y4teTEYwaCLP6bp0lF89RMadjvf3qUVt+QTWvblM1F6NV6GBe8nN4nAHp/uLW7hYSCY2EvvQAFpw
5mMdr0JogNHYM2CgJOLJODxnBE9kkdKmOfErXYa2zcz3NjjuP30VobFG1oySnX/ON8ThUbQxaVXG
W8WKuZTyo8ri8opRumTcb6lnmnBHX4hDzZ7IeRGnZb78QvCvzKpwEaR4A5F8fWKEO3btf9zBZTiB
DtaeMRIQH5eopyJQiCocgLnjUKguUFzB7m5cZ/35wzM/HAfbZur1mezCTcMTfNT4jjNHjgHs21Xm
FuNzncbGswGT7MUxhLpHB237oa02FyN4dhiXsvzzq2YaNjo81o7fu83DqxYHvVcWNnssxCpzs9Ur
dpXbERBTEuT0+Tc92hQhBmEny2WbozGpnA4PRccgjxQBh0PXS8BVuV/oGhFVlxGVstGeI6IiTDo+
s2y+MCbyH0qkpRjIHVjk3ZpMEPbm5EYMHdC9Fd00FQlKoQ/eykpHMiTG3Ajv7C4nxG5C3f09a+iQ
+W5pmO9xiChwF1nh8F22xnTFDLnb1eBQ9VWu2Tra+bzgFRNW1oT5n/m3RKLjSQzVeoaoU4Za9wXp
g93iIKlV65FIic70MR8g1KIvSvpWpE3NUxTorbUywwHoRNAOkO6cZpjyS9PR0WkWLHgr3NjQ2NRQ
IYi5HXoNH3NrpvE6skv9VihekMAC6cVVBy8JBH4RuR95NPUXdjVmCmFHiQSGj64Us3RvN7cz1ymB
ajgQuOg1nRGtmOQr3xMnHq68iEQcjPCxwf0QhkRmd4OjvJVQEl9DJ9AZYjfT184RxnuYlMpbpcZW
AdLHikq/01PHY93tlFsSchXy1c2hghhIRVJf9zPtZl31LYRP6hmQfKkqwfigdUmUvVSjeDeaAHh2
eWhH0q/1CgakW1aY/cmQU9eK0L23nLwBviBmsa8Vobemr3YqYVbKhIvrro1MFgUNTiJivHwkFqnL
JtvedFZN1lSWSDjOkGu5TCNJ6cmWaWr1rc/LXAd6LiSYrjYZn9qs1s21A1TgmRyGvFh3XktgCerb
xvFLtOj1GtMLIwdLm4AXCWzblT9MVfciiTd8gobOdDmp6rbYZtwlIULAaiw3HhmK5aWsQBdB6S1y
5gEdfFkyCmiur3vI273PXWZba7jKTKdIESLlaiwqwHJsHvVxbc92tXXqyOw9kWLkIYJrr/vh6Grf
DA3JiR96FilDSKi6l87LpQpbsKeqo/WbugSZDeU78ohufPTUrn5JTctE04cMijuEXd81DXpVW7Wa
QFUdU7BEKKKM/l5tQS6uishpZrO8C4gjn6JqjjxPgUjwPEV+GAzOM4SPpFwZkefeVrLprw3OJr/O
CedQOaM35UbicSQTt5YDUvJsDingRnRmrV1KoFlZEq1BX5Yl7/OF53iJ5cWkaXMVPrfulm8mExGA
7DKKXa3GELNijhttPWSC13Ucmw9ytKbnIasAlZA26Od0Vs5UwMeyxJm7NNvL6AZp8/bmcOUToJ68
qqddl0O0wM7mFWue23xf24OLDkPaaz1N+h2wX2NluKSGYV6meeMizdKQqPjU8fGGJar/8vmJOfEe
pQVq4H/8Fy98URggZJJM6U2w62rl3pVFNj4KoXpnTv9xVcTXZw9A22g2liDMPPz6NGL0XI2SfKUM
jD4GuQ1Mj1Bk9ckKra1TWC9oia4TV0KFJPR1MpFl1KF61+T9md7VUaGKthrrOFJwlOcaRfPhB9H0
ym0HHRdTYEzBD49QiHVRSnFV2+Qb/emp5VFgvkCqAAU6faHDQw1mPWTUn3NyQeXsKiMLflXC+ePo
AsZ783CJHioGFe6uw6OY3mQ5gokSyZltuh3M0HyKYxGe2fufOG1Ia2aGm0OLi2ni4ij2yB63oj/T
BH1KVkcjt8SbzdRT58wO7viGRKQ1T+5Q8pzQwzQGE3KHYO6V5fJQpLEzbYMKSe7n1+ZYdsMVIRaT
4SB0wVluf/iFOktEIonJb/dgkJCWVNC3WUk1le6mC4qg8st67GrALOQS+EoyDa+1YQ/larSGZAbN
192+M7qsP/OgnPj2PCXoAenosE4tJygiqjOz6QcQI01hbzAluptUg/xz5tsf10W8daiK6I7SJD26
aXSGh7FezuFPQ0ykwRilj3BlsNq3Vb1lkGvd0iz0HrTRIIa7sLDI6UobkT1RWfeOliXPnBvS0+jX
e09G5tk+jfbhz0+FzX5WQ5kDj4Ry//AKBXJMmiRlmOSFRJ2oaksV7uGW+fxUnDjh/PbfrVvqUjZJ
h0dJ9VoQzknn1sk0IuW8brhVs0w7c7udeHyQGJGqxH/m5uviIbW61O6HRKvmwJsGOg5aOyuP64ss
MItz1/aoAzJ79OeLi3ACoeNRDkBQlrzPa3YTTq/eRyTHvCTSm5672IoudDLd77tOSx/CIIyJsNDt
V7NPrae6Z7f8+an9vdU93NfwSeh6oQuY01uWVzCqoH4HMXo8G7ZYfDkFUv0apV37g71IjOoLz7zw
h3oo3CuoYMaLNtRJdNnb8ZStcrc1HwMmNc9aWhIAWKSd6md62e2n1hmjTQat8ydAVjSlOk3eq8yb
KrGVclDf03YgFpW6la56UuX5LzcYGn1dhiUNxdiU9vPn3/P44jJoQdzIpEGbbdyLW6hN7LHSEBuu
QM0ma17tJtziRP+q4Rg5c6jj/RO+dFiobJ5QL0EgObxbLVrIWFpaDmUYsX7ZqLp0/SopzVvXYHB2
4fA/aMMHqz6XKXLiyDhNGKzS5aF/sBQA2009gQciXGjUh/alSIBfE64htoZTG296lI5bM6jTl8/P
7PEyRfuMRAeuI+uV+nt0+LeOMzhswR0EENWVAuFoMFjWK0Qv60YEsaSUSM+ZkY8xeTNqFv4nDQym
nlzWwxOcsudRMxMnRZpq9WPuSkKSNXyexrYO3c7YT6ERNuS0GcqXSPewDLpplT06XtERSdZm0X08
BOx2ykqB6qWhI31MwXqvDcJEBWIDSLJ7Jj/1z1IUzZeItwtjQCuKv5HY5IH9JI3rXmB/JuexYJBE
HJbS+UanJNmmCss0vR6D1FZ84iBrvFtd1WAJc5VcW9smYpo12zDzl+JMorhIyIM2fapdGLJ1Q1Bp
LNPpa6M0TjRLG4PuYgwpE/yCzXr3p6sdmgoe+7lxMqdDLYu9xiKUlABDssmkENc0+jvsCgQomzgV
1p/fIUeKA1oW7qxW5aLBH/Dm5f1vd0iI1cpV476jp+1kN6mOMWxmdDUXZJPUF+y4QywUjn4blCl0
wM+PffTq4Nis5lQP9PuYWy/uFfxeSoijEnwKjrBLFAh48HTP+NfO4T9/jv8j/Cjv/7Veiv/+L/79
Z0lwTRxG7eJf//sm/kkqaPmr/a/5r/2fP3b4l/77rvooHtvm46O9+V4t/+TBX+T3//v46+/t94N/
oWkQt9ND99FMXz5El7W/D8Innf/k/+sP/+Pj9295mqqPf/5FuEzRzr8tJKXnr3//aP/+z7/mPdJ/
/v3X//tnt99z/tr/7ETbxN+Xf+Hju2j5q84/sDxjosL2D+FqVrgPH/MPvH/Q3vSQfVmz0hweBStk
QT8g+udfpvePuTsJpgKKGuXVXPKJsvv9I/sfBs/8rB1nhos01Pjrf3+ugwv0fy/YfxRdfl/GRSv+
+Rca5sWtwUo1p2hhALU4Hv+zuC0BmrSRSwGzUr0+uBSwbmDaEPDpfA3CyJkXzUuvETvV2BmVSv1l
tojQ3pw4YdqqZzbDmSJ68qwJIs8csvA8JOVGYU2fyJ0YoqeJBRc1urUD+rEitC1Ers1Iw0tB3GX6
uI3jJzEZ5lozW8xg/abBL2yXhAlohOW6Yb/vPNfX06+tAKNneD+aprucIOUVVAu+OcIXMUXMCxPO
CDd2dKd33n60ewiHun5TFPqqTccvQofPb74qc+Q9bSxmyHuC9xIgLfJuNhytjCR+1cnqWw1QZCZH
2SjNzaCQ2CKVNX2DSzWbvo3I3P2kSXe1Vm1rBfQ1EmNTBF/7SbnQ0zbyx6TbxFawbsK3shBgFC+1
6q0FS1HFLvmXGxNeTGd864r3qiK+dXwlNVVfT6luXGDnXvcC7KbAqd106nOd5btCDM9dav6kkUcB
66XPpbzUJwYlXuptGUhdk22NaKIg7ssYr7xUuXD6gnedt+3MNLykGyhXXhJdmMMXYwwuB2LXX3gH
roT75Hh3Tt3wPS1CO/ByjeV41ySRgYom73ZpERHz6URgUewtSO8LxXDoJObX6vgW9Yn3kDGnfCET
rH7SlLi7gZz60rYErTbtW8gXFar6VWsrP1Prb2gmLtuU8NvmMYnEKhcISWU4ZEA4W5AQoQm0vCkv
slLfON4P6So3qZBXbTZC2x2rjZADCEjTJZvMYBce+bBS45emE6t6yHPpJ2qzIQH6vpmCl8FM6h+y
7oYPt3oNOhjc4/SdgCCyM9z7LsnuG31YZfUDggNfIYNXyYK1Z6D8QvhVrnLQGonv5PJah5goGvOJ
Bo14Gbviecqo/sa8YP9RTsm2TkhnbVW4nF2p7UaDeFLDWDsFie/FM5IXbFM3scwedLu6sgOlX+Uk
MLV4IaPEuw001UfdsBZdfJEn1gPG+RcMWA/ZxNwrvTQz8lvSDJipvRtKvLIYQ+zwprL3gZ2sjBx2
amQSMVGSEN/5DaHjLje35bwniOzK8ip18juR09w0qrVrXdE/2059f6XbM/RNPBFC9hhnPyUJ5FPy
rFdX/NEb24CEq/fm2u7fZP7DEw+2mVySBb4ey11Hey3SaLGnV9gS/BEmgB9ohHcr7Q8tcAiZrqmv
oodA5/838O8jNF41ouEi02dVxByM8VxP6n0jk9cpdG9VaW6lnvmavTImTwOcy8vIuWSgkF17MZ1U
rwKIED6AtDLIY3eCXqfw0C5yUdpAuuGk6XiJfb0HSVoZ44UilF9j7MRXlpvca2lzY9TdryGO3/IG
g4yckq9lKJ1dFKmbujduPT1pCZwEY1sk1vRTQ4T9VcJ5fWB2UuwyWLFrlXUDj7b2FJl9fylHV9zl
0uu2DbBRHx4wjxbDaYD07hw53dzrwnoks/RL6g43qdfs/hdx57UcN5al6ydCB7y5hUlvyCRFd4Og
RBFuw7sNPP35sk/PRLVmTveZq4moi4oqSSkmzF7rt7nIq+9iXawX4cx0OY/AY60eP+OR4NcrhK8G
TdbfCrYadvtDova7KVXOxHCEuIz9zuk/VoJRg6G0G9/Sf2qiY/0ajt2iPFGqkwdO/m6WVJIm1RBJ
F3NdJRhhFHfRWNhcWFMyQoM2iZL2M6YYJqFxOKgn/VoZ33NLCTRrwNtoHmvyakUzTq+uMSTRZCfp
1xzP1AVZGiUza7d4y04WdGnHbh9AV1cMLKv6MY+Fc8KOElOb7NYR5DUNAJTjbvuK27R1HZiG3lLC
vr0Web+EoIMqE/GQZL7RvpW6+5xqnbrNPYpcFUpnf02tawQe0dokALW0jlpO1GIsdNq33KFANI7f
uvKgdJ57a7Ovphf3LhyHNqGcLO9HPd9NPBwNmRF2qDjXTD2YQ+KP3nYwfiGYGBIeDRq8jPa4iHqP
rugDrxB9PW68E4lxKIi8KLgNG1KWV+MzS3lxJ9irsiWgL4COGxHGixrU0jwLyvpkTNCXo6VbUgjB
ZQLdUd5VOuydFscE6YXF1qLTDo107UCRzjctdgERu5PurqemzG+pZT8RfZ9kgSpqcWxK94JS6aOX
kozrUZ5cfryJAuGpe8r0E5aq0cZumx50dQ1X99E1k/cSoTrVxEGcueHI0Go+tbxfW10NUsofzLwH
nyWOfCi2SS2D2fOunn2nJvZ9RxHlWzy0Hwq552l7mAzSsEXLkI68UHOIaxYhgFlIMOSlJd/XqZWz
JcV75iAHaH+UokN2vCw+b8EjPD/0dUKvZaUShejGAAWNLTZUJjgXu0nSwCTbJp06kCnas/x+nk6s
QY86n7031+bOpCRIIyVAqnOpknnrpF7AyHkRpuvXE1d5oSJp6TZJq4eu27mkE5DRjCB9O07ZUeYt
RgHA/IZBw6DQyaqnae9VLAqZyIluNov3Wqmf47n6STn2UXYO6pIyDkuy/kvuYIDsTT2QGjTC7aRk
Kuu0sYdUOn0Ntvc6oBnkxxsOJk/+vcqTHImyszeLrinHGP8sWBO3iocMVHVWjpJ3aSu88AjIiso+
981ZvGnJIvcUwvMs6lRhucq9G4wfRp2eW5nva88bgkHJNsAjUe50b5ZRPpMz8qi1q7ZphwYmLPb8
KaPJu8EvszV5VaXYAjRO+KKmanQ1jg3W4VhuRyMP6vEO2owvgz3tndLkywf6Q22wSl/VmUzWOipc
7VjX1XXM9zTYYjmcUZK0Dt9OS+VjVRwqZ9qJgoXNnI9ZtWU6qEcj23OI6UFB8FsuyCkovdCW2bXu
aO5Vld+T0fmN54Tekj1qZfvUGOXjooxX3ZY3Ja0jacTlu0HFpRjtp6Id3lX1uyyN7Vh/a4txmPuj
lnwmrHapUe1ndbxXTO+cVmyLAb0Tj41K03RF9vh5cj9i/aBOL8g2g3sZdVZGc3OwltfKq6JWXXZF
vvMgD6m5C5aUynTvxQAsdedP3GOR1cmNXlCCZwaTRFrY2Vw7M5Sq9ZwL6v1quZu1lOOi/MjvAx4p
zvprJ+jOY3tmeyOemWgeVy47neYrn2H7qNH64UwZQp3xKZ9dO8q6e1Vy/k3pewhodExMKrhrl4pz
+tLzdK+ZzlGKJazsUr1Imsmy0fzVjUCHUjUjN6932qBsVCPhrdsgHPaI7CSKs0U6xyP8iBmA8U3+
RLm+m9cRNw4dTnhqDsh29iIRyEVWubHs+oeb99HgtjfyU/SO2yDVH8fs21EhetGSebV66FP9YKzV
A0qoLFxRIfuQlbznx5c20Zg/hijOYo3giZgYajJvMu/FnLp9xuh0UUQGK9zHEIqA0gT4KYhk2fij
ZCqx1WDwDlQoP8m1yN3a3Qzq6Jf9wbDOYynpmxbGtx2vP+qZH0EjAACAzbl5uRHvaDdlqcj1B1Bt
15/KR6vpfqL1G0JPck1sWR+zXLmJyvuQyxCBJVz1TrsOS7G/E4b0aMUWqwOemvog1Jk9QAa9lT+N
64/KTHyPWEq97vdG4YUpgUq+g3dEFcQjdd3LYK67zFterXR+KRz9TLD6kXMimDFO5LV6bA2VMp30
rNf1Tscv41P6eJR9qweNOc28s6Wv2E65qXRzQwiJzouYUPcmT+Fs1KgxR8Q/9uK3nYaudXzO+3Xn
KUXIqvMMN0sKUxn2uK28HBX4RLNy2JOUi7Bw+EFlNbMuoAS6sHWbmw2O/MQKm3z47DO2gHlUfzG6
du92xfu/wMlzSUoy/qdsqrZZb/TBNGpmFSqJbpPDhpuUOGcdukBpj07cZLtEX7Ztoxk7BCDWXlAU
lg3xk7DX5EEgYQ2mvmt+dGvHGzety9m5KossrnLNKU/XGnVjTlUZYspBwKUSINZsY23i/9huSPPZ
xoHQDHj1NVFaKa/SreMHRWfZm5AJiHWQmyU29mtnEOg3Ws/kmlyASz1ueJc7sqmlu+mUWQsQ80z0
Pa+72mXxq6cxcp1UeSVTuCeh1Yk/FNt7yFWlIzGDiV3Ti+uSO+tGRwO+FwWqjaaoeR2YDgnH9aHw
4pvTGaTZkxWfZlBGVVU9dFNcYJj4ynIrEt2gA1g1RtRmBV32ZfVJ803+kOVJ/6VZa79zhSsCsGVa
cxndWjDPYHZyZevWSn8aHChrm9h/GhSzoM1G72QPHGQdYc+uVJWDNZnPuiLSEFwRFJxNyyKaz5H6
56T3xqauxnaXoWMNgZ49RGBk9dFMa+yZf7aN1vHya/IABVvl03vhcpE2uKI0316vQ1vsM6d7hCC9
0rMQpHj5tGL6ckglns119O0uCZ1V/21UxYm4xasDhWTdHxZ9dMiGY3pE2cr2V2d2QOZ/emWOV8KM
ZXc7DFy2eK3soLHKfrN0hh5o1lKyE/UfTae/zZ12MxoSsnrnVFMTMhjVVXJnH4vsuzXd904dd7Pn
fOP5CYuq+N1Nlo/C/hOHwk4vf7neSzJrL4bWP3XCfLZkmR7iJf2lOPan1fUfNUYoRxlvGcWiNF3r
1zLFI0eHzGeT8CjQH4zrkZFZ0rOoN6FBiUiWfZUs8UcUKFnoxtQUThPSAKu3bML0Cx9NKV8vgwTp
dK+daiWbWsmY2hcR5m5zwbqx+v36iLUj3Rnio9HGxE8oIvEza7jWTmtHlhAitMf+rFiKddF7Qeme
W288FoW1Vm89x4cpigNVCYcyG3+mkvhOp1obXjI2gRKC7sj83suA+iZJXkWVPsFwX2KrvzTk9FmC
YapZvyZ0gQYHb5BSjuCTkhy2A8e1tBnaqIVeXDVURb5lK79RPLsZKPQAz1g+Z5LCxrVXTo6bfGeM
OVqSH0U7PVTq9OUNdhvWZs7SDw8h1uoNsfpGtamOBT5laK8iYl/furzkC1Jd0hQbj/JLJ0E4GCa5
9pHlw0OWxoDNNoZRDhLdbiNBWVIEFcyyirdKXw/C9LZdb3Hna4dKM47qPPqqGH9YeqlgOHC2sXQ2
k6uFhTaHBPbRI2oEFqOkT2wxHRvLriMZzklAiEZDf13zZIYjAd7Qetbsxu/mYZ+ONqOU82lm9Q6/
+GHMOAmHBgIUSEPGBMreuxr8xROnhBF1mWLtoevSi5XNwWAoL+CCE5FKTcuJm7uqnzK27pK+GU84
xlJGUbmfxEJYX5oPwysT0XjyWv2XyVk3KGuozYx+LnQtwWWJdZmWWWKbbaS2T40lu8zOfThRjNSe
/RUS5NGZE3JUZsueH/Oe/BfQjCejBZXPVWN5Gxr9MDcFoBQqd598mCqg8/Rna1uRJ79yaYZFOTyn
mbxMmfGbuHfCAuu5vSS0XEBKm93yI4ntuQCQKgGaaKljxBgXdSEAi7DdjZO39S5XevXWxtWRv/YQ
5Gr/VC1cwZWHJBpmSExpyOtUD9FUIYMZaN7hF18FV17xyoAEmHOqZhuajeutOrhEwFGlGZrD/Ttf
BfpxRNtZH6UifYmtOnIJ0/ZHyJETCejpZeLRID6CISNf3shY2nfNYm4qs29DC3/jwe7rWzcW2Wlc
qK51smozu5q+LQd5wFyGw1+SH2ZVefHcdk0XlsuE6GdOSShsCpenauQOKeWvsu4jS2uGh3xcNsQP
I+ZzTDaR3Tw4NMFPG61Uk40aJ0UbwTA3eIMT+8JLvnh1dYC9nF2A9/X7SFM9OYbML4NdbjuLDGRg
aSpryOj7sZTZ8qlQrfNdVMCd46UtlV3WJr8Mfci2SYNaZywwpdN4AgfdZgdBSl6h2IdJvFgae3Qd
B0kzFb47Wk+jA9E/yF0B07WdjH0vzW8jA/soFiUqrexR1tXGyNfNFNOF4VOxggG2eVUgbUqlu808
xD41ULdeJWg+ia3vISUskRkFZUAUq6c0PyoaJY+2GZiES2mdeHaNX8aA2D4TuMCNm1dNS1i2xtkZ
5y99psNFJ1t36opj5pTizs7eUGGdW13bqhJoapn4r9PArS/u3wsleLeuVM9080pScieTqhYjexXx
O8HCJ324eeWttatdQtgZulvtCjBlWwk4p9g2ubR8x2m1j5VeoKDPrSqa1DxsWnExaVTN4p+N8ZSt
DsWzK5hcZ7wtTdRZbzq4HJieJGDAnfJLJpVg5VhCD6CEShVHBHRPzCLrG6DHwXHUnUYmf+AY2sGp
Of6wq4YSLo0ALha4zHpX1HL0q8JGwseEDlDvu4V7y+hzyAf7Y5HWwMHtRTZUXKCRRgGy0h5z67lP
nNDiZTZwxo6ACRWxvEQBHFwbtCcDAerVfJeoS6Aw7ekl+jJ0TfuEtWfx9ECfp3v5rvsqY/QbVuz6
M+kFrNK13yio46vhvVeuPaj0QkhDQ/ctJw+Gni0DuG/3ObmhxEjRL+UloZrI+S1NHkskkYMeYWwF
I0m+7w+YjVATLclW6dS3QfAu7ucCuH4h7etJOu6hd6y9naq+YmUBcq/Jey24f6iUfxzL+qPAnE2x
BE3ojdh7A6/keXiqeV3Ey3Nux2G9WgGqUD+Xw3mazG2L6rCbvW0lf0lNfPReGq7xmw0wMU6beXF/
52w5CgBoQVwrmaiBvahb2xkPhRw2uOKqMSr0p1T+1stP4b4tyFni9Gtwy6NHKps26oFdvPfZD1AN
tcy2DSi0aq4huMKlF9am71kbNAqQPWVTTAJYreqPZfLd1JwsWnnuYonSVd26o8dPsHR+2pqhagpy
E7wA7RQymtzFHPzq2ITnky+pskwc9PQj1Y19Jcq9Mj0IDRS5sMcddfS7jBS71rIfrOrJNT7FSIjb
kuII028E8kIsmMp21El3Nbviisr4GLO3+XllRJotQnyyYbWCUrfK+Giv88/STL5qjZNQ9s2DcHXA
G/PBKtXTyluvrbK9cFfIiTKt7kT7a6NRt9W+ttOlggmJ5xfNyDZN8i3hE1Dyd/prNV/n4Z7h91Iv
ki8XBSr6zQciIdXDbFZ7Rd6KCTpC9vbWlnj+C/dgZtNJ7WpAYaK/jLdsHfZZMz8L/UPMRBtPzm3q
zW2+VL4t01CLj4n1bmburmqmHN7F+TFa9eyjUT9Vfb6lhepYD9fYG+tnLUvBnJRdS8ynRpZ52Xuh
Ez9l+HzomAzInt8a+rLJrSRai5lKFZ2D3w2G6qHFfrAqMQfhbTafcQv5rq6XZzuLkuFj1A8LgO+w
V8aU/XsICrrYJvUAz6N1J3YpUzuWzXlV+eoAKNND4e77jOr6hADykSM+QrPsZlFVvYj1KuxyY6kf
Csd4fmrqg0ycXc4Mkcpnc8rPcxYJdeEQibl3Dh628axIQrcl5o5b5r4amkq9y9av2JChl8tHQdht
K19dcwkSvfep0T6DMdfzHXpeL5rFGjkbG7VKHjDuR0IztrmxS83s0rVnq4DFqgsZ5CajEuha5k4h
Epu901pXalS8+JUjwI9JWVbbo1UdLXG21Zde2dUDcNHGyDSI/9+yejF6iK8o0zkDG+fWlvxSrT7H
GZCILnZEkSKeo7ytVF46LY+GDLJjKjO/NfXIpWyrMXb13OANGSF4Lp3OfZtsW29+N/JHFMoL0gIg
Ft/Mm1NVbd1sDICIB4MXS8ZrSt+Q+BqaUvupre5T6lR0iJcPxDTqkBVQIK7l4yY6KmiEwqSkW44A
kvMkco/yZed1WWYjqtdxR8A4c+IcIZXe6xqCX4v4Qarf0b/DllwaGQueDdWJUno1n6fU1VkSRod9
nUEo3eP30vxWdcs9jWUsaOLUaIC2Yjz161DvyB1Eqh1/znb9YaAkW4fxFcFm+5pTynEg0Z6xUCua
8+J174V8W9W199W+/1WL7NRhgzDGArRnDLKxidw0HFR3Q0RegUb7DpJ7y7LtHIW3sO03yzVW+ZGX
D6Vq2YTNYGzr7Ac+DCCOnWmOyk72W6njr19gbe+Q73PBftGuvRWVuJbvCXtlc1paBv4qKr2XRXtp
84uhxz4jur8qbVRzfy6G2MT6qUQtrfW/ZkPZZ3W3191Pb8huOSisnj3E6gAr00XOujDLtJsOJLmo
96nYL2OUxm/6fKysJ1DuS1cazN/DGuh0+/mWCgjVt8MTSUVpoAzGu2fNofDeaeU4NbYReg0sG+4/
6m9cXiX3ysz1rC7GV5X8NAGPQ3J/I0+X1OHETrah7+UCXmCARTUyKMzphCHpltOyF1SztSutvrhW
cVe822tsb4pFf+DZGqIcniRa060LIuEp7+zZPE7EkKT9+F6sxOEU68YQxmNSplR12tnvuG/9XlCm
MCXrIZNVRNXvru2NDmCOKcUlZivPuZNbpHk+cGhIZu9uwsMKsVzA8HbKTyqCL9UKj6uo5kUUnnt0
s2F6nlbzkxKzHupH3jTQIel138SI7Jc8VvylSAZoLxB/D3gy6AY4ESkfPS9XPwdLsXf9OroHmxXF
wanRWp8LVDvhBpoEKgJiSSa73Dvecu5Ho400J7HDKk4kmGDaPipWfFtHto/RSn/QLGEEIJFNkMYE
bSZlT1tdqRmPpbaJPSNlvL7OKf60RZlnKu6NTy8luXVJk4WVU5rXlveR7w7LvMMnCo2eqFn8ymLo
cQt565GwpWHrUpNzKNtRsyIbjdnGAXoPzbLbEfT7mkiuRjubZDZ3r/Ps7pTU+iRXaVOgyPPR6bwk
6soKpm/wKPuFvl5tImJhiDeJyx3Yp3vM+KfBUy8OkeMip5Si1iX1N1gHmtFLT7Igq0Csirr1uJMe
HHs5anVCAaaokmRfFZbYqI2zNPciUfGqj+SRRDooybbvTT0NiahwiEQuaTfhfZLQKzo2uu/0KeBl
kfK5YY7fY7ZF1DfGcLh7MyNYHOM4mvxMPawDGO1QxHFAfqqF57upt71a3TDDVLcaQZ7vLbFzbUh2
2BpVPkSFnek/nL45F3NpRKyapB06c+drDbvN1KgyLGugijVVh6cW1CUC0dceZqHeAyMWe9gZ673d
b5TlimpCz5bHdmrhyImj1jYNZt4d7lOsFIb2VMTNr9FFTXmpYixkgUhq430unfablCfNT3RtRmEL
0iSKtvteM5UEjWQdf/MMEqEdG+N1rTsnMqhOjAgrhAxulPZc8vtQMiwTa9Wq8EfAxmALgqAgo9sF
rmiW3hep0B8623mZPCAys4l3OeKNTTpWxjuUO8Q0rpnrqK9KZKoab49q1kK1IVfWWjPvLSlS5lwx
zB+kqf5Oq9YcdpU9WycEY8Znl0B6J+gdfjdVPlPZ3TLZq9ic0lnZefFAYJW3tiBtxOOcTB793aya
Ff2ggE51vONaDLwbpXWo2u73MGnN1fJSNkfoSM5b6QQNRxNYjzKZzHWzuk8V5jK1n8cLTTDW21TR
QRFofe99qxnx/3hnlWlLotQG2GMm1yavlzBlo9k2qQLuG6dt7/gJfBZ7sFjE745y1KdxiJvbVMke
AoUG0mxeP4a4KjdquQpy8uusC3vAIqjYqTE4jbMqf+zHxPGVldHtrq/lIntsdxN1FAwWeuC1s/6u
VaN+bdVYfx/Ya/ak1pdnfV7brd5ZNDOyPzDhNExUNa4ePTRyDQdM0ZqcijM2VFXErc1zrdWnPPeA
B+fU3TatzCLTrTquWwehEheNva3Uc+EuCkyiNN2vxqK4FEZb7UK6XPWrWlfeT9Ep2jZfFSeaGsK2
Y1JBNyrzwQGEmiGKs/TaT4p8dSa5BHqn2w9Uj/cbW5Bd49uNZR+7zvAubmE44dQMKGEMVgrDU8B0
CLVtWSfs6aeYE6vbZgptz3ks1KCj7Uc9dGQjnhY90W7akFAz2xhOHcUedC4LGKWyGZHCqC7oek+M
oT8jCaGWta6X5GEEAI5GU5seCpsgcX9wFVhpzZk3HnKtMxZH7g2jyICnSAsC7h+2hZFYCeUI6qsb
x2u3actM7sxSuB9TgcEpUIsSTxanmHLTC2Q/jqN8qXEpgRmW+Kvs8EiVFaQT2nstypBTVUAUsXfx
ElATik7HcMgdl8uSWXtEpw+Szg5OzUrLorgpkEliJGBTrB3t1RSx8QDA43XoihqhXeyiGPGbxzGd
L6D9QYGIJFIUN9d4ZvX6BLYB/p1bU0hkEjXktRISWec+Ok2ybGU850e1y6eonpEMJY7t7FwEbbdY
yOyxYb9odae8oB3Ht9/O8XfWdORjxshRz02dPRBdtmxTYm21qlM3o2NA5MYrKHGj6+SbNsnbTJHc
IZ+tV/pj2ytRrPJB14eV17VuRPxYuMeMON4BIg3Htoi1t/urcGN57FB6U+GLUicuAvfELSl0a7t0
+JcmmXEXmZ26N816ebZHG9RFllrkGohoiInwHtVOHx9BqhoF6n3JZh89q2eHKfYJx88Vk+xfMZQ/
UpiE2J1NvxTlfIyLZTgQj9DyRBDjh6vN/U2BJSyN5Q6buoH15RmCVGlxPvrIzpevfE6XM4DcT1Kl
uSJus/XWCSZ5oBjlKIj+uTi1x/qU94z3OKDNfYrHbWdLnVt4NraLh3Km99y949Qg/q5D7bPaHkh0
Lh+byhzPkJbmRmvlcjaWfomUQfCM3ZtEiIGxbzKu7LPuzuN1mSy5I1mleHHrHMSp8YgYQ6Ygx4sB
S9L6MYFhzDv4ZyjjwCR/R2MHPb0tNMheF67t6DOcGBF0krMTqXzJclc8kg01nibTiV/pMVBB3Io3
DXQhKJWeEnVJtHVHi7E3mfNGm7qGSINh/eFZ45unq27U4EUFiF/E+OJilMa82Ca29Ft7AE5anaHZ
da20AksW+jnPyahJklrdMP7AIwlYCdeEqFwhSK+Yy5FllaBAMMlHWczGpW/tLuiK9QOgB3ymnuXP
GIVzYAqJ9mK2KRWx8ffKplspPIFJZ2NYYj1qCA9lC0flXHZljSyDyurImYksYGCgp6plEKmKvtks
47QvQfOEP2DhAXz5ID5BM3lh24iGsJSSzVZ7xadWceliHWGBUZKSSWPVXX/RyrlB5oXmZGjL+HeV
YPBYgP1atDUhCm6UPLkIVdoAAlWd1QM3aLHz9Nn5WRYe4kxIySsiDoMP6pwtyd02LI+mKxdVT/m5
62IXD2MHApNIe69SitEC6yaszssQX7nb2MuzvhVoneLsNiBsZMR0pzrKiYPYDcwfPh/rvgrR9bsW
ZR3ti9nEZUnwrU1h3+spBYhOKa86ngkgI1RsF4LhwdbnSu5zglKQfNLoEZhOn78STSzQfLWZTrdB
IulKarOrKVY7qO2JlaxIZQ9q4ckD+lcYnZQ/jxZwqga0k+s27UNhYojrJZ0CPrEK6nURSvu1DPX6
XRAGdvBWlWQbJ1FgCozpzsDK5AMFhnVVeJNvyDkUB32ashpxjJU+KktVRbifh+M8ApPP6aDtVjn1
70OyJiEmVaZpGuBu3thmZzCsOipnZPdpKt8F+wNPYk3lmD8g8ngmq3v9FkVenr04nja1WL3S12nL
Y9lz1GAkVzVca9lFCyFMN0+3UMeKdFlDfLroWMvZ7a4y8XYyJwCh4UiiGrTSDmQlUW42y+rc9k1F
zdhC11CNnKfLnFsMP0ncmEEOkVu0dmCxth5HZaxDRdpRp6TrRxvL5rkfPORZeQ3l6sjhRe25qXyZ
qR0A3eAcifZDoDg/GnbyBgKPGEFduotoc2M7VPp4lWoMP51hmf7R2WOzq20xbyfk/ZFSj/2jodwP
BjkJTiGn5E06rCtaNvroIc4W94KHOA15ZpRTamjmzy7hy0wJiOP8TFpodiLIIhdqyI+TdX4kb6zn
2tkqBcr3+LNA4lCJqGTVXnmZ/BxhFffQwuShAS1EM9ElmyqT+Tlecp6ROMl5FmZrnT9tb/Ee3eSM
fYn68KNnPcRE1B/sJOm+SlLv45YUemrDwbOxug6MAF28bhztfpqvyrFNwCnNsYJwOVoTqsNu8NHY
I6ktj2aVDeHQefd0VSxgPPQujgt4IDoPGFCsX3AS5jsnR7xFqygyyBLH+uW1SvwyllW6EwAZsOdQ
9NIXnaow2Od26DQkl4RCVLWvYocIdDfdllq3S4rsRQX+G3GYaMmDaxwcs9t1MfB60+H2E3W37qnZ
AKNJurBRzWOxUlY+WomvFOspdscX8rS60Ej5NB0k31p+/130/g/5/T+py/9T1/+n/P+5LvnnT0X/
PzkB/v8cAtvf9V1c3//5R93/Nn/99H/87f5XzQH3TpT/tzuA1+vn+oc74P47/mEP8P5mAnThtMKW
RTLOPRfi//oDNONvuPzulkLSBrFtmLjn/sMfYP/NImrTJo6QelX+FevAf/gD9L/dvQHkSOAOUpn8
9f+JP+C/mgNILuEPsvEaaMTz/uGlVUWL6IaWpCBtYP/sfkFLrfdT+Jfv4x/3zV9dCH8Ph/yL+w4P
ApGqKi5X7JOkrP+ZXSJm3WAZM+GTMzIobL1XXxDMICnKeAJusazHHzphF0cA5EaF/6h4YibVQ+eR
o8ZSAqgg9TXtARz8pZqgbcmpQPBs60IB/LTL57RYRHksLHrWfM9QrYs3T0TIkcDDm7keJZ4FQ5/c
+a7uVd7LWNOeZpFRZ1MUctwus0OYaVoOaKdr27nn4llqGIsqZwqlYTcw+8K94rmiPvlffzN/uMru
XwwudHTVLL6Ypv+snCUsqbIgjojLiFf8Bh4gkPtkVj8SCzfKf96S/80luLvx/rgC//RBfxgD1xQT
2Qxmimp4fF2a+tIK17chSsmsibBwQn/Kw0Cd+b/+2D+tetzWd1svId3Qtijj9T88UVk2TkalckQs
eC8n2iAi4n9qfM1OjKSIbhvdGpx/Y4b6L1U/908lXOheOHpPXDHvX8ZfnFgtBlCWP8iy1Ri9e0tg
FhXCoYNiKfWHlnBEjvQ7zzMDQcG0DPVWLiY7AHfxv/Gqm38GYlFaTGo2vcv4gyiC+DONsS9R1iWl
VPzBrlkzqHSwzsBFSMsyQ7ZwCDU9wv5CUPrFTZJZ4nYR5blFm4RkaxIeEMEwqifqRAayuuNuec3q
Ob6ZbTE+MgF4y6HpNHCZqUjqGAZiUZatCQuOg6WziTLO18U49/z3s4XM8Oiksf0gFQOirzRye8CV
51g/728bFolSA280OtNeIsKgl1uTTMgsbZgKCs7o6tsQidGTpzIJ2ns9q88/MKqr7b95WdzvxL/c
qTSjGPcMQd2gSowiVvfuKf7LxSM6J1nrhS22JPkHWt5uX5ZYWX424OL/5u78u/vvz89y7i135Aji
YFX/+KxyaPByYr33R1ujT9MbXDtw+3E4wQNkD/kARk4zgRL0OLUuSqE0EVUD3SOFeOsOeKkSGD+V
8WQZaX1Y2Jyj2sjzUBYm8Xb/+kH640Xx92+FAAeCK7iNdLIC/vlbcR26YJe6TwIQlXlb5l4xIZ1V
cEY1anOjOmuuo3/9if/dl2PSiXgPz1JtEpL+8BSOade0wzIlQcszdrOE4/6O9bKaPv4PdeeRJLmS
Zdmt9AIaKYCCTw1GnHs4CTqBBAXnUEAVK6kV9EZqY33gWdL9zdzFraNmnV9ykpHxDUSh5L17z9Vt
j/UDSgY1/M5Mywui1OjmpE6lrciuB4t2MwG+0WTE+rJbsqLazES1uWzYquljBoyMDVWGG+rw/hWf
LGbrMwIX5+K080DBWt4Jd3DR05jHDm+Tj+Oxs4muRzde87G//zOv5jRsfSs7EHYZGdMcNY9fhZ5I
gy+Rz2wWx9H3o6QbEWrx1BnL+KEUyNPbVo1npu9X+STcG98ElDnfd6C3uCfv3wUGYwiJjsqEtkxW
RKyX/OCG3RqCwGn2K4JRduPz4CcoXh1VTodBm/Rses/On9+//zceM0eZNUFttTAiyTy+f0dPC5uK
xtjYRPJGSgLVTrMl27//K68oNesdrxRWDslU+hhixz9TuSWgZrcFvrlM5iU9VtTtBaFyqMhjlP5Z
4jjfJux8l7GgzE9uNLk1U1GlP0GDZHdNGaD4k+QckGCWijPhmG8+AnZuQBUB+YB+O7423cjCTu2R
kVam49ZFJH/JFif5+19ZcSD4R8m7Whez419pk95ourA3NkjwaHZQlNsAobI/v/+gT23LPGe+boiN
psk345x+5j7RI9aieM6WnVZ7wxswQI5WdRF3dKmVR5fMdlBfLJUfX77/yyd7kvV7Zd+JvR3Cimkz
1x/fn8jU5OYjAwlLS0B2dZNSSGO8GQ+5o8MtyavNLQmqxhdfz5Ry5zY5x6h+hSpdL8EhSATiLxU6
ruP4Ejghm9IJ1sVmRotIena57dfSU1Z4+aMh5/Ki7cfkMEibFHK/7a/JiqAfbaHoXEp/vLJQRty6
iY6jEcrvOQLL+iWdLE98YVwjTCSIcc7JMJPAdGWdBRSbfRTwhefJhwQ+7MpfW6abAD1Kf+are2sw
sA6uExubqFfLjKpVZmOMgxAbuKgXAJ1dO7PR/KgJAKQNYQ/bzPbtW7KI9Jf3B8Mbs6rnrecaQe9K
ML0cv4kwoXTiNtiHbdmxFettBmQ7T9uQUj3V98GDIU7s7Zm57I1fZQBCdIAmwazqn6xxSiT9VCoi
nDtERRtz7pKv81R11q63Z4nykOgpMBPTUh3ev1tn/RefvNoAcgbBMmxT1xPg8e32il6T9LokyvSC
+TWHPjZeeF7dXSV1E7tkLpmtsaOdYF21MrcnqonS+KNHbRiYnAgVuOgmbDYZlbfkoiqo00VJUYlq
rQfk8NJCvfwgUpjqO1WtISYQFU4pYBmnKxEpxQsV2jIInoPEqabNgANSXliOdDWC6gp6IMXVoY4G
2+uba8qHg7vXDXQeZvxQo5wNvI+U22wJikcQUp2WuPGsuMFwJGscSpvRl7XeqLCk+e6rgvaEVtJV
O4kU7gxE61V+Bp8HB2H083zHazrByXJEM6CUrrnwCYdivI6Ted7lVjlRGeybFJ5pLZH147zMpnK+
MVynuQ61Mu9owDsXukDyGGjZXmKNDu+60RT3kz1zwDzzut942z41PGZavitxOpNr4SZDPdHUFWbt
/YLgNBO62E1ncFVvzKcwnVkpTB4HDO6TjYkT9krz9tl4pS1HDXTaBKPPHgzeYDRXVXyjb7AS2d42
GAMyHQsKlv+N+wTdiVyZkj72yeNRPc6FzLSGCuLlhvXFEog7c2QJZ8idb+1MOUoRGEbTkrnKPblR
DnCVybmZckLrenunnJuNZUrUbjEqEO1KhNa6asPLxjHFwRV9tg9oan4QwxJetlmB7K3Sff2J4D34
+CYh6aGVYh3S+VnY0uv5lI8cKIRHnYbpxTx5IDo0i2wsWFyxaLBGkKm2g6BIhbyZk7sFdzQUl/yz
Gk3vzNr6CioG6IFt6rpx55fhkpzMbICzwrBJB2NDpoV7UYrEva+Bq17SE3ax0BmYXLPJ+4On0YZS
kgyQgPP5rm+oKrt12p2LD3m9Y+JyQGixiq3b85fL/cepTls0W8yqY9NouOi4GySxlRbyzHf2iuC/
3rXHic5eSRxgBE+2TCl2kBlLNnTvVIyIGeZh2/Wa1qvVTcjKrXr5gARm/LpYuO8gf8855eeKoKPM
bJx9SegbmkET3TuaZAzYKk9/CB9zOXJuZyMrJzjzya7T/PEywPW+HD1BckFKP1n15iKrmnGkPDDP
zQ+HYKqVqWCMUUYXbDzzcF6vdbBfBAxw+qiebYYnzyapnMawNM9mIYfyXi49Feu8tFfvvvcxa9aE
M1d7P96fEd4ch8E6GYA4DFYQyvGUMFSU3XqsUKij0o8+YCYUlC6zsyjMOip1QQgtIFgrMjhSFVGx
YGu1h2AiG11lRFZgDzlDa37rkXOCpthJeYGv42TlrZE6QZBle6EanOEYPihCGe2M3GHOVHxmP/XW
gHSo/TiCHGD8ot7JZ4gThLpAyEMXtWE/ylmh7bNzhWZgE5ppWCC1MmxS4zmGzxdJFtNrqCqQVtig
A9yxIKkUJgvhZAffW1L1JSwT4uaJDRnz+7Crw2xP2l6Figv9i3Xx/rt7Y/Jy1pHCQQeVI7dx/Ooq
IyFvVHLt/mTND+Ta5/jydLhpyMo8NL1T3opY5kQkCudcJsLrpYy5gjLHS8mcB3fy07m19FQlENLL
wB7MSLAF+zTm1Yjvxpgy42EMy+Gmz1FM/DbteXlWk5X32/dv/40TKBcBvd9i+gQzeZoHpt2Crtpk
cRF0gp5n0q+otqDJ6ZX7MRjolE4LRprMtMedXIwJf0tHV6mwAG9084B21w3ZnMVtei705o2n41q8
EAL/1gqyezKoMo12igZXEg2JtXxFmA/FZWiEdZtNxrAc5jbsk53KuukyDjXu7pbDRfvx/afzxoTO
e10r1xDyXqdWaCMewsHPEirXTrdhgNRbpZNz55E3Plba8rwA4KT+OgyPh2AdaD0GDbMHziq8Iy5Q
vohtpo/no/HUmd3Lmz/GqZSKg0+konOyk6wrLxxBkMEna1bjX58H38e6+jLTT/701w+PAidPzYaw
Dmn95AUWfpG5VrJ+WcSkX6YwtXeFWWZnis+vMv9YDUFLCTLQApoLHMyOn55f4uZ05DrVhV62QSwz
f0rlNNiXWdYM37xKpAjKCxFudWmVKx88bxHCJbiBpMTDNJbfERRSTyMM7k+VJV25KmllxL/Mxl/Z
YIpBV2aWT3//cKh3gLjnigGwnqwYVBXdQNuTsSnR3OyyMdQbbbbOmcltfZknKy9VQuqFAJQ9KgAn
O7Oy6ih7JPyKAS8vGtYgpkwM1ke7Sf0b9rHDmZVArEv56Q9SNOM10AIjm+Jkqe/SwhjYDBsbzgFY
PVVnfBYi7bb2MshD0uMjzKpY3dAPLKKkLKbtSCZ3vslmGxVFgWsBV12NdiKoLrwhSPZd0K8q+sS5
bAz7xgnHerjJRxAgf/824EgKxs8KKzulEArEDOi9EDI3HJY4lvbZBdqfv+UTryOVLilrDN0i3zbX
vcs/tofp2BvSLTnbwj92r/rFxc9h9ePu/Xt56wN3LboLrP1836cL2kKL3ZljdltDE4fbXnmYONrQ
XnMMKyv7b8wmAXtQxhcdPu+0tacW16xW3dKmTav0Jpuz/rIZqCU5TRJevn9fb8zFYCmBF+LdN1kY
Tr5zEpG7ue4YWgvSNNgYPWb4sXIe3v+VN/aP/AqCH4fz5dqcOX5HqHT9nvwtBnDmjxFb/X7fLGMa
1cOjGuotUfZ/m8JswayjN81Jlto3J72TUeESptUCNk6gR7QYBx2FeHc01JkR/npUwBAlNRYO98uh
9WS+sSxCEzTUMggKSJJNw0dgXS3Qciw/TQ7vP8PXb4rfojPJrM88wFHo+BnKHKySAXcR8y6oCXiZ
3SaBAn9mbntj10kFz2ZAeOtgJzzg+GcKTURjE9dJFE+D8bMvkdkpq0quFq+bL2TuoFbKy/7RLJL8
bq5SHEQ5QbSUm3HyJNiLihzDuNXLn8Vch08K0/StI5b8E2J3vG3vP5I3Hr8nQpryZFOtDY6TrV45
NXZWhQyrARcnUryGzoo/ziHtWHTN7//W6yFMtUAIWM58/fzYyeN38FqmlUWFZDB9tMU1nT5teFVU
271al74+ecqC1Tf3/s++sZM8/t2TeySwQaqmYSAbBNiDqbG/521b7rmUZesHlftc0hOF+rEYl74e
vftwKr4j/FvIVCAfYj+NBGfpYm6+v39drHMMhONFiQtbW0ucUJA+nEZ1VZ6mpRziAvHMtGsfBr0Y
xkcTGFF5haccqspSA4GMUHFZf4KB7zHqMzh1W8x2eQu5BXV81PeGeVcjP3b3eSqhelDFDZ5o83nO
BS8ekkWWJOJT7vZIXwEm93SrsV8b7IxDjO4ggzUy1wXxL9uSFAdKG+dGFASoBKMcaXNxNRFe7m5p
Z4lu4wc23ld3Wax8O6oCiSclLvM39Ej3UYacq6JlniX+miAXmzrp659Tg9jrepQuREoaSnCKYmUj
NOUqtRt1M8P7BsEcrMFsXhu3YyNWdEOX68+2R1bRLuwtn4ykGIMEz0m019QOQTZB2icSuMCw+FOJ
ji85QGjS8xdD9wZxy+htbbzj7JnIGXhApTL/7s0SXcmgxk7fuJkph13SFyD2oBRAljSlZFtlNsPK
pymMx9iCnTOj+8NMkq7IM5wDDtb1AaskJNkpfJgtsoB2adc0MB8n9vxWMPtwgFsO0xtznBZ729QC
EwZcu1/D0JZiq3BKXSXx1OC4cKfpULc12mYL1wxwj6xn6zH48CbiYVx+djaOc4/sjwy1XeQSsgEP
CjHtwyTYseL2tQe8s5WN5QmLfkp3Ku9H1NNICMKNBRjtkfQraqmw9Nr5kAXQ9iIjS1P7kPZZ+ViR
gPZlQKjxRaFvBuqXX/aZ1yPcjqv+dzcI62cxdc3nODSWD7jNALvofHR/BbOCqV0U0A3uWjoK1bYW
pFhFjjE1w1Vsc3SMKoFsmONRMj5bk/RHFJGD9akGisC6X/uMHT9vQxU1uBus2zGbMeh6k4vSR/cQ
EHqLrJ2Lopr1g2fFxnez9zRaDSswPo+ZDn7mbe8QrhMk6ZNdr11vrQZYnAgoHS9yitn/pmvMdRAU
mgWXUn2IKwNM1Tx6C4bNLKu+dF2Z2dsizsFRgOwYLQAvfQK83vXiJyy0OGDLKbFuZs9DlZwrcwQ2
kZU/UJ7OANT88UfR6ya/9Gcrv+xKtoJLDSQEtQZQlSbPUxyPfZaBXdEad01hK+uaSBMcPq4ngTO2
dtOme89SprdLQzPPdx5KkIbg2xiPtw4lsldnzIAkI5uPvztqMdKNG44SW9gS06Zh/GFZr9r0oIjo
9jahv7hP7mQkY7TUfk81FRV1gvcz6DHayHz6hSkYxUg3WBCqWpOU9saqKYNQ6Go/lRWU022Jfb/b
GDQqf0gfRl3U1lmPozRxSOMYKrIND4pOULVBSl73OwWdvbrOzK6FjheCxr4wJrdYv0Ntfy76oYES
BYDsWsd01lex2PSnsPz6GTN54BMO5M4yIr93vgKW7/vbRaQzHo25yn43oQXA1DcNHOx10txAzMhn
pFJx+A2vy/TFASLPFLFQ8N5Q3Zr9DbU1jNcZxz03MkNZ3Rtl1TiRQRny2QQa9EWuZQrZeyBqU6cG
7qZHARcI3BtK3W62wTmk7nC/WK7G+b644qs/pfGHjFkbcNqQyUcKAstDqJOSECZkIlD6usXWByQK
rNhEiDjTVRc4Wcsr7y3clVYd3tdDU/4cBwtUGlypeee2Oek+SWagwO0z90eHK/nenImd2EC4Mn/M
nSx9hu1cmFTGOzOnENpi/+2z4o/sXfOzzlGcsxUbkgfUXBl4nswdvIiv2OURtwF63qZZPGcr6Ms8
zoFNWdFSE/hhQhD9K9UuY791OrwMJZ4ob+s6U4fXwoAatjXzrHxO7LkLDlS5nGdLjMx6Xlfkj2bQ
pT84slFEj2Mn+I6WqficaTk+OWJSy4Xp2wKcn09pc4OiavxspnX8Mv1UzOpMFL3vAedKUhNlPMaQ
+E+joMqRBmQXTx4uuy9M3mFwYzoclTdl2zY/Ry8uUky6RocWcdYlyAav/BiU3VLtYz5T9QE9vztG
GANscW9NdT3sDTGbmF9NG1YkMXCpjnJFF2SDmqS6sce4v+kYyzdzogz4XEkHMb+3HHLAllrW5qVR
5eWqNfb8FcEoxXfqwXWH0mZOrrHADtWVzEXPSmR43jYPM+tuBBs0Y9WwB+tCaG/1QdsxwAGJVGyL
kghNGPY1uDEptUkYHjVT55b0Bf9WGkXmbaCSK7qrhiYDLazEAEOHDtJT1XXxI33Q2OamCT/dp8EI
wQSWVvpxDpZeHGLUO31OanvJbV4lM9+aNnr6mUxpMC9kkLWCtjmJ2NuG0adx2C7G3eCFaRolsvZ+
YOzH1YRpsru3Wi5/Z8k0vXBhVaebgBGTbBxldXia036ZDyZBrI8F8bzZnmkAls/k1+Qngy+BfzCV
fvwzYYL9tHBw/+UYwEovmtDECKS9WXwYPdHkEfZqEMQsS523qeku4S8OS0R1A0YXZCyLuwSHanaC
L8Jf78bwWDg29C38D8qy6MUij8ekgHE7JbMx9s2bvlXYp1rTaO4T7YRZlMELMQ9C93NyIa0p/DKJ
QGaXAHPVbcAQ6IFal014V8Jg3lZiBLNYvQiGBrd27onD0i5NzBZtXoL+rYlEa8JbKgoMwtvYcgPQ
NOHYxfvOMTJAxilFT/LQsebfxJkf/nJ7f/5KFRPgMs5j/wkzZo6Lts9Lwpu6rvrOPhD4cDWHcLBA
dpj4OF0cllqVrJUp+zwjQqpoZhvPV66FMSpgqo1lCGLLC3Nx5w0yvDfgIj22cZreeZB179PU8vVV
PfC5Cm0TeIkXVT32dR/Csphy6FTBhI4xyvErfWPDF7SblnjTfBubM4uEaWWgTLEcQmBlazI8JLoU
X4vOhNSZLLqAgCQ9/64cQCOFjpzpZqfmliyD8E8+eMZ3KehpmotOXbSP8Gcii0Uz3gBVqPciY5O0
t21tXbg57CjoAAbiFlguYu/Tm+4evcFU+dYdQQ0/8n3ABVJjEjdR4zITbfDOBV9nXaTlVZvndXld
Os40YYyROr/2QZKhUynNEudmWubFZeGazq0kC9qKWr+TbmSwiYBljLqgv3UJjQYU0VVFtevcMrRB
F3X1eBCGlsHBF3XWXqkgLwR1wBxykwEnID+EU+8geoJKhMddqo9YLPOnJhOr+ZZ+QrkpB8xrELPq
/qPZ2AV7oMWdLDYqBVTpbgyTYqfcvNBbOYWgjooc72EcNuYnt/KTZ7dRFWBJIkyuGuVby9Yt2gqk
WIgKfGSofICoCsvIjgOgm5Y951fBJOfbmjIZbSqFlGCDYkPW23mZshEjnl/KHXxzkGK+04UoZkCT
XtRFwBbNDhXjWruGf1Mo06p2fjlU/g3mavDvbKYk+5XUCJNonofw0ar8Odg37It/YV1J/P2iYF9G
oDpFfSGki465boL0z+TnMdfG7uS2rLV558YCo7S/Chlw9wXiJ8ul+sTHhMXHRiL+0Ngz8MOxrT6A
UEnjy1bE/VezDet7tNlFvKvMuTs081SgWxAV/cmhtSYVJezmd73EEL+lHzCA5JWQlNzW1NVNv0gD
bIkZg+trRwXh0GtANDozu4CNqV2x7MtB+8O+96qC6Bc0aS5fmCyYkghqkNu80uz+27iGDkAVznM3
hSyZ9p05XT6hle/uXJTroEEWDZ1iDIeieihgYEGbwMA7bRNr6nD0WV0FjSe1HX3h2pq//z+Tpcer
KlHzNC67qQ27QmBd42R0ER2XQZypcL7R6qOkQaz06ihA1uKflGuwZoV6EjNrgHZbVMjjL5kCP4Gr
hlAqsGKeQ+BScJ7NH0Mv+6vUnAYgWSr+7QGU+fuqDhxp2CM0HVdJ6Em1SqPsqvuqT2hqivTQGsXw
2y/qmLg9J0nPnO9f15I5RQfWKiJDF0Ud87jc4tox22kQ2xFykgaOUzhs4cQNf+rVSk7bW5w5t78h
W3M9/BQe7dwXie7JkyatVxStQxnJ8WgTc9KrV/jHEsKHK9WvOK3mZw/Q5F6A6/1YGEF73+Et3UlX
TKA5FrLv0jhsAWKBojgUhBM7Z57IW4UW8tLXci5yFMJaj58IEk2z8QaSxnXCVaop5UAaqryN4J4b
H8YWzYWsG31mBK7v9KSaQVUBHRehGy8Zsse/6iesjnxR/KrdyGuDQIdgU4x5uM2bcNkPPrk9WWDj
UuwaVZypub3+bQb/qlP1TdcmdfmkBiuSMC6Cmt8Gg6+vmgL6xTDBsRxE/Z1tcPxBVRQHBtzsZ+rM
rx+1v2p9bDpkNLXpCx7ftMqM0G5ml42MMcsrzjvVlW3G3W6h6JmCbii/0AzPzzzp1yMe6SsKHFqz
CFOt09xrQAdhuSwvGuAcxHq9ngwWNj8NaLgb/qA8vF+pemPEM7EABqIdjVKCKsvxXRpmJlXXIoUc
jKYB6w16MnHiMloUe0zWNC+2wKo6rJQB52+HA0nHmQYpZ/oYml29XxDpXllKok1yshDrtnDYFb9/
kW88FJZBZkDEJ1T9TzV9cz4FbSoUCShT623wuvd7s4HEB+Sps369/1vrWz0e6sivnXWgI3VBJHzS
vpoNs6xUvRI6p6a5wTfcGxe5Y4TeDmc1gcBj6CSf5QKjguIReasb4iHrYPf+Rbw22lC+wf9BA9NC
d4/T5vitoK0Do7JKSkQMOfGqEYsXRH2aOU84GudHowPxp+IJTmTNsuNstS3YWOGtCH4ZBm7nMy/g
jTprYK5yJzOw8YAjrjy+nswG4/NiWZjyXuy6cnGwALHBaJcieCAJg6I2PCCw+V1AjsWit3Dbun0n
4+mixw3/daL+t5PtEG/ff1CvR8Z6XbScEEHhaDnVWPdChbYeGRl5CYFfLUga/AycawJ36KJcunN6
w9eTEZJW+gxr5Oeqtjp5L6MxmR0DkV55jatb057aZOM44PEP1yNBotld5wXlRdsNxN+GJXISQemD
M4AR4dE6PHkJnsxzu4010tZZ94e+ayGvckQ7M/beeKSMPD4CTDFYJV8p6yALLtYqNUydxXkukFB/
6AVY/aFehsug9PQ5B87rPsXaxiMNlBYYVZzT3kFBXcIwXJY02fXJPWy+gIARwMvOiMjs/eHyxk/5
9NhweK4eNtM+mdKnSvTW6OC8QVhLKgTMzZ1CLbNZsHmfm1hfTyT8AoOF/S09aW7s+JNJfLxmE7kS
kVJpde3Juv2MkQeA4uLWwW06wZcEhzUPN1VomCDpxR+BsX6LqNKM2pGCsfQhbTs9ospOGsuOEk28
96QD45YS7XxVons9c81vPh5hk7bFQos5Yh39/2gWT6FC+5nwNVGsyn/TMZqgQM3WnpDo5fL9N/F6
RqEZzbsO0RTyCbOTPPkt/HEFyTUpmVLAQu97YiIDIsc78LxpTwZUQBTV19pDfXSVK4co9Y3I0ul7
RyrWCLG67yCVVqjAtjYtC/HQpiHm//ev8UUQcbQWIJMImIQ5v+MXQX17fI02VG5QOCA1F9qB+nOS
KXLAZ+wbUKAoVyuShCZdHjyCvObDqAQBnAiISAiZCh+YKqAe0rPAptCqYIrfd23X4PIjWwJQStkg
HqfzY9wl5Sj6/US+w7zpnDgTYA/w/mwUGbXzVeXaPej/bCh2Y5kAy0rMVMFljE16Dkah9N2gBPCF
M7e+TmQnt445aO158wQc/3SugXPDcbWJ2XWxrTvMRmeobWkGxTdqD3ZDoIqs8h0FQ78Anw2qbM+a
OjdbVIH6FmOP0oRuN8a0aWbPfxqkn9vfSvoLTzYEhp++n1MtzEOHdCdv5NVv2H3Jb3nVwNszJ0cT
H63Ik6GbmKVP79/ZWzfGPBryTfKPf7qd7EjAKdhvQtgzOeiFPfknK2znjBby9bYKzQDnI5t8xIBd
5Ooz/+enxJMKMiseEYLKuL3JKxmqw1DrId2WlQNnaSHT5KPu45radkY8Vk/qxAvpsIHRREeThCA3
NLaJGnFiU+mAqDIFKl/OKJlePw1Mbwhk6VOKNfJz/fN/fPEetW1L0caL6NyoQyIH2lsc8HZ/+8z5
0JkGA1xd65d0snBREwEJXq1FpNRPKIIjGIimJc/a7fu/sz7U40GLKmQNf2cGI8R0TQz8590Y/O9i
qDx4EW2bbt3Mg4lBpQTs2lg3hxyEy/XUWzYiZOUQFudmhbt//wpe7Q+wCfA8sWQjfoKxcnJYmc16
sruFK3AgQO0HxyS+BKcZeQYqmSjhjRD8DCs8CPqCH97/6VfrNj8dIoPinIQilh788c0rWu0SNBb9
VJDT0Yzz5DbrmviRScd6IGCkOnM8emPorKdQf7VPgTgITh42aWwmclqKLWNbmJeqdH5pPPZn3uiL
ku74la6mbU5Cqzdz3ZEf31XMSXgs9ZRHmVe5n4ugx12ehmtlv2fXkO4gPpFgOBgpbhsav/VEbhmR
Ji1KMHLWPAQYjT3dN9kgf4KwKcEG00C8hhDayAs6C+Vn1CQQjQxSVIjLGKiqD3DeHtGvibvS90ef
CIzMB3K0NDaoWa70m2qt0NjJoiD3beGb8vh4jDnG6TRUVNtcQEn3jW5hLJQIIunx14bxlKEBjH8H
pd1NsCMLL9lXs7LDHX3YGBcvKuESkC+igO3oVOMCtJMgom1YJAlU9ylV4wbplQdxFl/1tm9b8cCZ
ZG6eG8o/+lqJYkFlrqax2yG7VhxTBgWbtW5XjF8xJcOXBTmWtU2T1lXbPE0xmGYedfvDWCxEEhSL
3dwb8FfG7aQHOlUDH8tDgtDK3mDbbn+G2F/ii1Rghfna0mq+dP2WsBiOgUv/79nir2go/2+ok//f
wlBXCc7/YUus4JWjMNT9f/6v/n/853/87v8Zh7r+lX/zTgzvX+s0za4czT+f21oF/DfvxPD/hSfD
o5mKNow62frp/xfvxBP/skNqCWtNAZ2X6fOV/hfvxLP4IweNLBrlVYvODuwv8lBPJLEudm0OzcSy
8gWw8jEBHn+owPZSfG5rspSfDQ8IMq1Lp0+e42DMdtOk48uwJ81AyAVUWWu4BxHk2R2kQXGV5UW9
51S7DVovfUrMwrlYsvQOxcV4g9qjeFDWubnyZaP/f6eVf18tz4XZEm0ax9mT5XlepTANDp1Ixdbw
Ka5La/38++CZeqM3b5CDUNLKw0uB7QX/giO7RwLZKoXMJrcuxywbhh0liwphjh1c0P6xV1jnSK8v
lKSBuNkiQzhoxu9C5eOdCWfwLu/8GFCxAxNaOPnykHowQyW096c2iJMe3Z9hw8CLK7eLDBH/GpLA
IzhLhb/HOFaPaedKokM8o/hgidiMstJvRVT3cfktLCr6av8Yeh/+/Sj+SZY5UbqtT4j/Csq7LKX4
i06NAiMUbMetCGhKyOMLZTjcpEUDQxhlzHCRzuZKtsloSDRU0C+zRJCvOfTp/Ni2fkPsO/qCaOH/
sKK9U2uHikk8ZNgq0Je7brXVjt2dueKXE8PxO2X/gkfJcW2WQd7t8QjEeDsEA542tqyJ8TTWcXlp
Nq74OXLM6Dc05dMrNEbxx8xNXKpZdpxclBKif9yMdtSlmmQntHu3fi4TIguSzkccb5saEYE9foqr
toUJFWN82ozxkD5O7aAe1CQlzYUFfK0C5Up0iE9eOH9N5d+WvKBPWsYlblNBwvHGHWcL7k5qp78k
tL2JbAAH4bE5k4RHJ4rAHLIM24dlJhUyNlpyE3xar2o7++mzX88xSgfaM5OXVo9j5rffpclt5O5C
WtYStvKipi6hIlUFxtdUyP5CW8HwayjxyI2qTLn4pur1dlq88BZAANCs0G/vm0qvhLjRyh7eH0Av
8sLT1xGEVBT5Z/3QTvYHRlf1fWwaHJjsLoPUHWf1xs95JHYZxHh/E5by3SzQhBq1F+xqK1nTrqTz
mM82mXIGjGLaiNHk9NOHzIcgvcPobj13HJyXTRnY3X3Cnha2kj3SpAzmJL8NdUvRpVvinrQvq9W3
Mm4u2rTuZzT6GS/JdGI60vBfo9mabnQ8FGnkltLhLxns1TudovpKi/J7XRvyEwrKZdwXBYhTACHp
bd3DB9wQ05s/jWjsAyIddB/ZZk6g8jAR3c5NaZyZGLv1jd8V+KzX03oQayBJqW3ubHPAiYUR+NoA
Ik0+SIPLUpSivVsMZW7HaaZhOM8KcTr7ftQ8uIpvUlrZbSSxBnzIhHdvEGK3RdQg04uueBASfzWc
3hQ8sybNtI39z56G7b2HipM+9YHqy62fGddmkxBQbbntfa4IQfW6Ut04lV0+iiXEsnrm3fOlnb56
PO4hvRu8qohQj79EIosKmiyjiGTJ4EI1Y94UEKzuOi80D8u8+mTdcvjRgEc8Z1o+3pW+TFsuB3XK
9vgbUB2zSP7zCFAl8EPQv5H1J9pm5xqt+ppT07zuXXE9BFN56YyyO7hwdvnwKD6E4MlFJtNbI+wc
NJMMlRkx7plj1osA/uSJ0MKibmf5K67r9JxlKQfmXomeDXQuMGrHnw55O/QcT9hbLvkMU70lrwHu
AFoGNtsb30jKj5CHxgivKYhqezIPso9tYjZt88rIfA8Se5zczGapKijdRNCEYRd1g6vOzKsvTbbT
a19r0FSkyQ6w7ZMPWUso5EUaQmA2nPyGmDxyL2LEN/VFXFhPdZyOmJHzPvxC5RyHZV7090Xb/kmr
HFlj4aYTLd+ZCgAGTCKEN2VVmfdOYXX53lNtsgOrmN1ps+uuKs7/yOJmVpgNpY9u11uW3OlsGe7s
Gt107BBW4/IcP5euryMrnK3d3Fgok7LWbK+bXutfwpx6Qg7UMl8PvXGfx/P94hGBF9Fgyp7F6CW8
eHzz9xXf9deZGBuOFnmrbslcYqGvpLq2cyeGylOqu6rOGLkm+exMVsQ0JNa14aHkJW8QRj0lBieP
2CFk+yHI4RYVzFSOPegvYgzSpzLOrS9VZq1EKpFOKDS9xX50iqGJ/N5Vl+WivRtzJOLZq8bvvi7D
Ldhmbxu/rBuTZmd95rN8a033+cQ8gUZ+3f2cqLTRp9eFxX8ie87iZ0Gu4UVZ1xLhZjnthtEfInch
hoijo3fdUaLZW2YKaDWBe51J2ezLyvyuRysnXjV1CJxwsi3KARRurR7PHPxeGCUno86n/0bhh/o+
DgVx/CEPyaRtJCksH1NVfO46O7g2jAo0jmPtQSF4eIpD+2B6jQWd0qNO1XVfu6mYr8JgzoFS4nEt
YbhHo4GzjTqiuBzl1F1D2NmQdJvvwfw7OHSRPw8+hZZhsfrHNs0NSkIb92sxNfkdKdIQJH1JdYb6
17mX8WqmgqnAwkidYHXhucI+vkEjy+Kg6mZu0CrEh4bkDFLIl/kzQXYh8RcFNgmqoSxZ/5u9M1mO
W0mT7rv0HmWYAsM2E8g5SSZHiRsYKYqYAkBgHp6+D6qq/66SWXdZrf9eXruSSCaBGPxzP47beYM0
m4aOA5CfyZC+iXvniyk8jdP/+8L9x9yJ5XMFPfjrRrqOAwnB/vM3pbwiKnUHRrVR2tmDTTN7qM04
RQ13OFKBK6mMKv1N5/1wdHZKwz4R+fX/hYayfo1/+s3ba56f4YMOHA17/h/rTUrhxlTbSERKjb9E
ajuHwR+MXWHG/0r9stYj4Z9fykTkBY7ClYqLyz//uBNYRnrHgBNw3ZUPA0jrV34wzt8olHuzj7T3
dOHEDV9AqAcGzjQoulb8ajgOPNBoWstnhNCo2rGx6bi+ND5zdAV/WRu7a2kP8KSARdF/LKkerSyn
pJ7ZyrN9wZp5NR1ORI3V2tCFZ58mSvpgP0rgNzS862l9cmN/8kLbyu7/91/yX7XbP35qJr2MtBnl
Ewb8c2jGJQ6GelnrSNlaF5SYxJGrnPICpH556WfbDsfYHR8bUE9HugLpP2lH+76CT03Lalzzx7F9
XYt1aB6UXjk/1cAg8ZPOhvYZj2n7ZGjqjA+5ei5Q8nEyqqESgCO85qO2F++Vc4PYYWiuoOTJnMO2
wBA4Yms3IGk7MJ/p+wxsQ/nbLEnHe6tY1NfYaMDe/SL9GVeO90OOuXcG3OV+jp3NqZrAg7jktQm7
Eqaug8BDn+2mTfKjsXTAjqFE9DYSyk9S8/KHmoxShn71wi1tMOgXaKu9bWR8JZ0QCayDvzO3/k/S
+I/1pPM/Sxqb3zJOq3/UM9Y//zc9w1lxq+vkzyRsTZr2v9QME0IrgAmOGixABqlCjnB/VzOE8Re8
fn89SHmWB8WVTeG/6K3QYH12NZd1C7aZzsT831Az1lPif78hjAgZsPpihV0iqsF2WNfuf5DFdTub
sBSuhjEBjp0idMAa/Vsv7XM0NN3OXNr9P3wsD3/7p//xuv3HAfHvX9FhvIurh7nEnwfEtIqrMfPw
HPa1+WIb+Uea0AymZc8UZT6Zfn/zFMzGaLTe/F780q3mEfn8cy7qdtNo1q7pxe9kfQU6uJJ1+6Oy
mKG0gxOHduv9C3oav54/Ph5C+2uijDkqN25Enz8O2f1MOSZ1XSZU9JGapkJOmxY3OU3AtMfifTVK
egOS7NB5nfnc0B1yy1P8oUkz0mPB2KMqsYLjrdwMFjdBe2ggVk8wCTB/tHfSSn6KtFSr4XqGlFRb
73TL3RrbCiyH4BanAvO0ePdx6nVhnVu7dpw4jHSuFQ59PLyUlO0EwoU9UkXpgXUfujZVj5+T2d1N
rGE0V1A94WoGRGej1LYmrUpxS22b2Sh6oxpSQYtPGSneAo7XKnMDnRHetnGr94KxFxdoCc2zTQh2
l+SFg0Rkxq3GhXGLo9jZ+VhOd36pLFpjqT+pF9feyl4Pfa27Q4jzdlEB+p4J92z9jnIt/93SH7vr
Y+ZrnUmTnei1UCe+uPXc9Kkl47FLivIt6Wz/iJHnx2KrJ8HFoYK6zhiDXtyc7gRyIHq+d+tluehA
J47ZGL0a68RBnwBl1xMfkO6zZeHpoz2vSRX+mZqQ1KCd/KF+iedCf1wGNYbFMpShoQ0axTrS/MQZ
nO2j2drz+/MPePD6+1ivuTYNpbim1CwUSfY1plrxIP0ovYhS742gxB61ZxevNkADc+456Z46V1gc
Xa2Lo/Cp+NloEIXO3izdTcqd+qk2S5OCrbZBh6ErjeYIzsxRgr0B2WTW7RdQl/Tj5f7RX8yP0m+K
wKiMBds9UaPFLIvQkNYDpTdN2HdLGZRt02/SpKnuuAGSqM8r+ruUotMip3mS4T/lwTP209KLvjMn
ib/iSXy0cycJ0JGYQRpPuoNyiuq2REUWFLExcXznCc08owpq7Prb2LCzoCFyviNp+6t0AVmbnvY6
JtK6t+glvCyJ0e5NpVnnxIg/XKxbP2oEjad8pq0qQcHKN7GI2kBxpL02wARCbtSIoyJLxm3pKgoJ
I3Xng9N5ryfA6HSn4Drz4rXp3M2PWgrOXpuNnEoobPuNcu6TzLCekYYyPhxRHNl8ETVrDrJR1Kld
zjTi000XGWo18TydSN3OnpKHSsgudAVYsazw/QNrX/xCeOGR5GDGCxrLXdPNB0nlT5pQpa0clFpc
FG0QNQqvWJwcGoTR0KPbAlyqmd+JXiHvlnZ1hxNp+TmbuOd7YBY37r9NODYJ2aSZCM7eTBWt3P6t
Ldv+TBCs2RRiHq8kcOyeUkGP7mM32kPpNWGOaf2npIfAMaihV7IJ9S6pqIOYr+novti0oHHzsi9+
Obr7tvL6UOQ6dXImpvrbUETWFvDszmo8mysD5sURMHW9YY7Xhm3KNSbHBPc1TJSSxWB6f0ZR+1rM
XXqYkzIl1aN8WggUfd7xGFWvdtl/LGah7ozcsw9u47xllgmaJHYQvq0+uqtaI76yBIFxGAhgAJEr
wxbDxX3Z+RXU89l88JbJe5+1kjpHntWbqhUlb2kpH8wMZdCtMBRHjpgp2crpVE9LY2tG6oMMVbuv
sqr7pg0JO/rsYpixIXvb6AhY77rqR62S93l1RBZ999jNurFPWmGfCzGQzNL0+y4enzXTfpsEZnUq
Qx3KVlR8zWWdHHLcJs4WYLjx2Fr6dMKqbhwFk+kAP/z028AXd4byQfmTEeFhALjfuMyYCp+MVRYb
R0qxeBKHHhwyvX9zAGlAHiwXoYOQ2bCGo2vrAAqKbhcwZiaOWXAd8A9qda9qoSfsAiAKq1r1P92O
qOBORj1xwDpJ+pwAXac/V3M18ck25betuJctHfU2uhG52cWNjX2H6wJtUX6Z3WwGae1V55Xfe5h8
O0clcyP3EzpItbO0NAoG3ydwwpSM9r/Oak6xaIxtKZ0uiKpYXD2LHG7UyJx+DUnKZrK1Y0zxicXl
y/y1pGk9hcLro+fW7Q0qCpOBQM6sxruoxvbfQfm7xVlvhDzWR6xW2Sr8QUXQCevuNL1agj6ZzF2M
sEMrhnBFUMAOC5Ey/YeqiagvaAtJKmkMqAwnvZJQoWv5lbcbEjO75sqPvokfDQ8NrTj+zijxMPHW
7HScQgNP/TgyZKAhj3r2HlSguUj/0kfJ90il0WvVtH6oscd/dINbnU30T9rlKMQ6m4if6k71jtpT
qUDDUmVgq1uKobhXEIA/tbnVScSNy2GyhyezLqMT8IKevlLLDhUdPqHy+99JEUtcKUWFZwn3UCvH
U+PiX8moyOEWZfu7VhRvDeUqm8mp1MxuUCWHOS11+By03pUENq5S12NaMAeHZWIe4XNIX79VGvCx
nFwkwUvPo0NYraEh/vun+GvuVl+QHP2dX9T3Sbukd/lIs/mQRxePHejKySDbqEkwEpUDmyR+uhwg
phyf6N1QOxRgGr+9Abkp8vNHOA/Tlhciumidb71ZnDu2ainLe+HVAA57KhSHvEm2WTfST9tpekKh
p+tdamjnx9w2ou/exeKF6a06a23SgIFUDVSq7DttPUYmwqnOtSH915Qb4MiSrU1jErT9XDcnPVPD
9JjqqCtbL9apS7Js74DREeU6shK5lWVLo9GSZMHSOtPVXlPSpvNtSoIOG/B7PlrN9DCLlriCNFo3
6PT42iTESzwJlqZ1qO4mFIeylcNozZSw2ZIccTc2gjRNr6kfC8yuQ71U1aEF7XFOJjJ2MXHDt1hL
sXwrr96idyXnZpg6HGp+P8ECbLITlbPqk9aZ6DzmTvtbm9bKrLGIq9AETncdsUjuLZE0j7Yz3jqw
w0FZxk9ja5RHpuvjdrFBC/rWWiYfEfYTI8Fui3awg8fyE/Y40UkYV9m5MjTr3htXrnhn2RecjO2p
9Oduvwj3gWI+LFoTCGfby38Lm2yX0MiuuUlJ5ymVvn2vEVrsJCWUpH1D0qxVQJB0Rm2qy8OQkQA0
Jklvs0gvCXLgUjbu84iuvmV5KU/2YH6V1VidWrzOjiisV0Wc5hYPy9rpRM5Jb76amBTe0mBBGQiz
5riN2NOym0sfXpiqob/1Xo+yay2ed8dOSmVCz+bZQgJldazrM5NGkqJjfCn9zPkdWa26tlNjvqZp
7L95zAQ5Kcz+dolHBgIqK52HhHj9w2jNwH4ZklC/4rh+ggOLSHmJxnmGmtVuqjT74TboyvgcZGDR
JUTvl2zujDnmQKhJElhd9RAZxbPdatRrG6VOS1wm9lYvTqSq0qdcOddatjTHmk3YuZq8EAX7kbUJ
qUfHl0dAvvT3UCOx9YmJCeVSPg3RqHBTPxQuOxkFEt+qwYCJEPVFDO2jiLrnuWL0xV3sSmHyL+WQ
nhud5Lnyk2hjxCYlecWz4pB9KtLkh7SnDrG8hD3qE3rWRy/dkorlNFnw8I1tG+/yehiPWRohLhjk
bKUU/SGNOirT57kIqszMt24N9mQplqemKr1dDPiN2NfkbPUY40RqP/CbXLusmquSkOCpWku2c8EO
avcwU+wq+tKcNN0wBly2ax/u7BEvAxDShkKPqYNgA9tk61SP5jXMtCT5nh2Gv5fcibS9wMYSGw70
WFhietsWVynowo6xoGwWAmwbqy1sDqOe+aCnxAzx29u7Ebfv1ly6Q2xQo5cpklzUKInHcVJfq95D
/3bXcm1yt52OG3kiVb4dHes0yE6/wxE3bkrqLql3ct9dpbWHqUmne7tIKY6T3S7OvOVcKptwVak1
yWWmSa8cbS5cbSO2ucSMNrsG5cuskRU5ZNfW7ItqrOIhSWWxYdyzBqFkd6JeqqfxO5fVW9dq+rZM
F6Jpk/fld9XbIstPvV7GwKq54GxAHEy4X/ThM4b3gHfGkk9mF/cVEz6TB3USDS3YjddTnkvqG+hC
H8yyW2vebYuGeRH3B8gYpBe1w1yqiowaJqB+TfYqHj2umEvUfce5LkJaWliOqSEBZNEJ9sRBm4Om
1X/W7Te54ekI1xVCgUqnn+M4+PeALv1fFAAtQddUFD1yQtr4raQiheat3ZRXxT4V9iN+M5g9yro1
uf9JPd+T7JL4ZFe8DQwugF7M7lOawCDG3mT8mEon3ddcyafCeel8j5GDSN/pPpjv9HWlQ0OU1Gfj
RiY534cFYEzEOZ/bLInZnDxCYYDVVcQ+TZdyOrP6avuleMpjXMJtKfS9Hef3FBo5ATsLifFG5EeG
GhHjb76zuvdPfE8/nflVzjHFT0Z1z2XdfGzcaW1nLZdNMc2PogI84WVu+7Myc27JXuzQN5gne71j
hmpn61WT9COed4Pa6YX7Et/fsNPH9WPyeGGVajKmat1KvuQHCJs4OykSmjseoNBJsnzvTxyB9eky
mjLbtdzDt2706M95fh0Bt2GcimfUAOelcuXBjjt+6ZGzXIDhq92ir2ks1sWF4MMTVDHtlTM39XlY
dI9FWUS/3L/yGjzZk9cRIBHy9q3J+5ObUyWuKrLjxLcBeHA/DzQxqlPm0Na2tS2lv7S0Ke7x/GrX
BX3j2A1Gu3Mb1EvJXfY3VAD1a7GabNfAKfmb9v5vaYT/X5ZACVS8/1lCvFby62P4owVq/St/UxEt
/S+4l9w1l4a9yVyBf38zRZnOXxwycgyBdEzHLqDJ/ycj2h5aIUNUDDqC2DaGzf+WEcVfsJCslTIr
kIsmin/PFIUJ6g+pDBuNa+EhBExlYkn9M8hDGtpqGJalge4M52HUihFFbu5uWV7jjh4Ho9b2loof
uJJ5Gz3j/Ujzngvg6HT3ua0XkEFTRyfj2qdetc29pDMPYsYPVDrzyXJ4ezRv+LIaARu8y2DAonlz
04m9IG4n8aobEziQRp1NNWs/YiLqdGFGGWJPyQpe2lfhaP4eEb496a1HhVuhfWN5mq6GMz85rfqK
THuwCABMit3D77hXGG1PEjqq68U+JWlMWbxt9i9LVcR3YKDawI2tUX8QaZWXgREPaR5k9Oh6nA4x
ZP6qBtAnz/liyGQ3gis45FTdbIU1Fc9LMb6blfIwWZklVirARcT5/Tqa3R2hf/1g9BUxgHLWwKPH
6Pu0V3EA4qAxXwezfu3YnZu9ac7RI9tovITDJCIQH5prs59P6dHQejpDncxhi86J2Gdt92IWifnm
xb19mZy2wTTqG/zPGLJLbIEx4Kety23P2Z+ySoTCcfiQhHBhPgLDCNmo3Xs5FBI40RQ5JMonSiFh
t3x6OUaCwi64nChoTZAQovsYSPUA/ckXL6LAj33Q3LrQwsSNpmdfM8SttSWzn04I45cO9ydwSOHQ
06fVwHfY7jiqku/HUOWvV/l+7D8wVssLKGpxGuzY1jaiFqvplG7u2lPDr0Q0ObccMgdp05TveSRo
o6JbE8oT1I5t4WjiPHS5OCcZo3Jo2k5/HP1oOLucdJvAteyXaP3me8fZdvEqqbUrqrAxTedx5poa
V6zSCvh1kHciezcbmlvlmG1lS9FoThsxCXpVpxfMgOlhGoi0MNoG0L4ALxDalAY2ZFCaMGMmfLyO
BHql2NRtjvjTpv6ua+gcgy0x7/DVnqfKe4udDpbNHHPY0hkeiXLcaWPa70RjB8ylrk6+woR82wkr
RLBRjWLva1EEDaiEwuRRruuCIHKynT3PCX1E5ritNefGSn9zpti98HgFVoPaJGEghfmSGtjbygFw
zhIB715+Yj1CV6h4GsiMz3tFKi2o7WGHp2rkoGk6uyGixx6olh1MSgcQG2eXsYtOfn6j+lQcZyqH
iRUvPacqwfkq6rjb1XYcOlavnTqTmwJK65NICHgxKaA2uYctJf2pO8ArfjUIx9vIxKi5hkTRXEd1
nNUAXGozWFFywcHksCkrifYLbirjlzyfNa+6b+f0fp6iS1RFuJmGbtwxhtjGQ7MVsOk4PL/4epm+
jJVMjyPKZj4YL+6cO5ehZmpZelyv44aQs3QhsyRW+r1ktMQ23vi5KJdh/NC8kK1iIlC7t9lNfsT+
IK9V3fGEML5rgsYj0dJP0y1RS/JQ1vN8jAtOknLWdymY989uyJZ9TLUrrYtNybla6w615umvbmHx
BpaleGk8A5d3TEmymdXptuV1+xbMqwF4OUaH4DVM5qGI9WoM8GjRSibksFNtVQRjlN4tC6/6mqDH
rZUQKUpCbx7ky7wozk5m3ypMZPRM35eeFXRGDkFhiC7OPEaI/QW9EbbcT1aRb63evHH0WG7aonlE
8eLf/aiqk0zEeIBM4ewlRSv6ZjYdRUm6O98ZqRw/rMjAU1HVB6lksjVd5YUgNvoK+XKxaObjgX8V
yiHQyUQ6f+rclA4orZwwlpawBnYZ2trGqm0jNEWe3XhQwPIgf/209dk7Vjzc4TTW9q2AJcdvvVPe
CYSNeoVYxh0oTZji7ASrqBcWioGuZ3KaNTUvaTfAJQwdWbbhCAieDovqnFBIlhhHacOk7RbMg5tk
NtttJStRbbrW+UD1jXaLknZoJqU4uFzTNpG3IEK50BFZsiDghq0wen0LrQk4XeQXexrYm1AOU8Tm
16+ivGvewRtRF62Y2m2CEX213duX3reikKuju4HYEl+q3GwCVNlebSsb1HeauG21mcaUnm30q/Qd
R457X0+9v9NFkV9j6NL0cfC08Rpe27z5Mc7HQfKdC6c5cNQME+4AV+U4D1VfVyHsOG7mcljOuWZK
JAVah7UmanD2EWYPZL5g7XfsIvB6x8R+RbkbBpRl34GMa+pOeyujWAO50FYPMjbEzqD++GH5a+8O
0Hum74HZA2+znOqS1nSKQiG/L4ZJho1dqPte1bt8oCx8GANdSrY7TQuEMONwTgYrnOt8ukQmXqmy
700OCC3mBKM7Oa2MHyPMlCTrnoilfaaQfakCH7QDdpZmL6bW3RgwSwq8BZkvQ/LTD77Fozcn6o7I
0gMce3WypN0d+4lzdCbr7zY3voe1s14BfPs1LwBIXOAX2z67c70p2df0cx0ET95jrfFDb4S2PJF3
wcA2dcklxjO5c1uTYhQnKy6uVekPNEjCNhFTf5SSD94s4vo+Kwv1gOuC770tjE/Dq7FWlVT+6iAe
aspDrqnrP/vlXP00DURpp7V5HnvztdEo4rIxyoCQzmZz09qCVyKJDkQHF9YWVd/qHtCkxLPwCjfu
u0/ZaEwkwO1Etd9dqvKa7AiMtrpAvcbC+TiAzeKfxEuJWSrdO11hhV7WyM/BktBzgEmd6m7Ut7Xd
ttdSJBeLnmGUMjVvrST5SLRGPen6kD1RoKXOtMdbvPflctQVB6XSyEactn0R8nmI3eg7P2XKe8Av
aaVlQEDasGB5l8hGT1DI7ZWOjg3vH042+PajkxfDsZoX+asdTRsld0Z7NcYXCupfMzA8VPmMp8GA
69cKv3xwh2gC6uxWiMil+zKO/nhfcjC+T2T5At8J7JrlBoR6243Gtv6ozVEa6vFQHSoC4xgksbV6
XjydF5W1IQNpdCzTq0W7GeFY/KwtgktBx9sh9umcqjMjvPKp6zQtFHO+0vUtxzwrg94FLsz5eOZF
QstdKXsfEHwSCvUa/2Np/OqHMeop3KbFG4+dTHAYWXL5GDHGkB2f2/69aGPx6EwLLx9NVa9FIeyH
GYjYxklEexLCfZk7TRwsdvOz4bEuwkHUb35tAClQbZI893NC3ZCTgKWb4jJUXbsERVPAblO+lt8t
fVEfFm8av5VRDo90MbrnvM7SfaT5c5jwv79wfdUngsTJ9xI7v4nvRdtydCC5MjDZxXNOMiEencfO
EszOWPmp51YV5uqRMk5ztkn9SrTqA/G63lrhwdq1SxygVg7OxecMDNpGZSOLoG7hOpztUgRD6/u7
sjUtEXaCKwPZ4Cw7RsKbzhMYspPbJndTiq3b8VgZNV8rWZ+6ZaeG3LojDmv+yh0l+I7oGS4ZP3zz
jgAvsRc92aW1SyihA6B7cprpbaLoOWuy/HcnWJsraTmvXT00Z54/9TB63WfmDvFxijkuZG7VkkZw
GHpqlbnhsNi/KL+SO9tLf5J7nEKiYf3OG6DlJN5LPMw7umGOZFFOArfa1quY4CVmq/Zq7INyyS9F
b9Z8gnr7DNPjiYrQrVMlV/a7TZdlD3pLGDTTkPFR4T2JPmIknbuPGY2i5CRgCsv2ofT0/lC7y0fl
aXepZBrOdcHf4v1mTWqKKLA5U25HXcfRTTW9Zrecr003RKwNyqLZcwRJj2U7XBvy9PusHdpjldj5
iee4uMc9MB7qgRydwZ8/a4zQOPlIY8estQx6Eja3BFJgOEPP3BVLllyrpIg2c+q3u3kp/UPqDFmQ
wmrYiAlnEjSxVzGWJcI7l4opHy4aEnyQLEA4J5r0osG8zZkow6Ke+3ClyElHhtY0hrUuZgY65q3U
cyCmbsKsv42+Ycmf6gTUdcQlYqvNVvGUkF8/ziPWxmmd8hf5IE9dvlIJACueejUiTFLGGVTJCvZY
SnBcZhSF0h3TgzC0k0bUGIxTpA6DWMpLXME0gj8wbHO9+TSS2d6QDt2I3GrDRhBRM8HBXWqq27Zd
kxWbmfe55dyAFj9344duGNm10JDnWYnfyq5unspMMO7tTE5acy5P7kzEB/55wB9iQ5do+gPH4wtw
A0ogfIAXMQY6IEzIS+700Leez2zFfpaJif60+IfGdwMAWdvRm45ovAmz6Gza1bn/2rGewDx2LkZD
IUixWvDEyuls4hgUlEisY2NN7W5cNBbQqgdSlmjLAU7Vp1Y7HZ8yzZ/uVHoXYv3RvefNPz0CFwed
5dmNxiBpLEY9b1qSXMVMUUXaWt2O25JL4NKq9hGUUkTsJBSasewaW68PE0f+oCE3d5CzerGtpd8W
tQZvre12HtC+F4lS+u7HV+wsq5GN6TRfaRjOZT6PQee05jbKkg6nevS40vt3M5kAY+QfbtXAbhMd
/JhfiUGxwuBqYd1X/ErLF1HD1cSGaHFGqQ/IaHaoj/1uavwdiWy8Bkaxl1Y+7yBZvcosM3j9xvwY
1yN8n74buXGSTXFyk02RE4bbpNvcaE9kB3Zm7iahu2QlmvnCsduXz2WshZrOMT8qIvpbSbbbUZcF
bVl2oRGrE6TINtBGTwa62eRBPZtyp2l9sl+yftkwS6w2rPmkrRJqTrvylM14rzApisNStvVmymiq
YxLxMEvVHMD2uQc6pavDnLXRwUHmZuXWmtCcK86bLmflhZh8OR8z+Km4u1Nqf7Tsa0qsB6ZmRetk
D7HQs8NYF8y82+5HowwNG5P1XvOzwayHkTeyNKC23vfD75G76kazBJQ1xuF+Bl58RW416kfu4CFx
ivc8U9VhMavDKEeUnEFt1zayqiveNdcc+CvchM2if8GGYm4r7hB5C7JFXMfev0s9582avM8o9tNw
blsZSOGcuzzLmalP1xGtZ+snxoS9Mt9oZia4cdNXbyneSk1lzZYd3Q+SRJ/OmTF1u0FSfqybntrO
jEE3Wt/jP43tgRcaHPQ8NKCietMMuNcW50TXQdiJ7tY5kja3brjDLvnTNWfmKfX4NEWlzZBbG7hV
QneGSgrgsR4xqqZYxQfvxm+n3fEpAKVFN+mTPA6ltxwXR4S57eONMLoO/aCpty0iGMcJqnSSqioo
IZg7brHO8IM34i6N5YbyoENnuus0AOGa3kxrqzinIteQaY0G5oHgL8+ye/X8PA+GoR0fTHQrVrwF
XxMzVhmRxK0TPwt0bN3HuSqAnjNzPBvFROdlsnIf24aLikNmOKB30b6RKw5KvT0Zde2FM8EFiAr1
w5C094Ua72OgezGVld06I6s8WquiCO4G600cuOSrV7nuPMiMN6B3QgK+HFB86zm1zGuCXsNcMOkD
Dc2P0TxU6y4xvJA5o32AS6625lA8loW94T2ptu04XBgC5wdDRPe+r0DZtp76VHCfN9ZA6+qksuSg
acyO6VxFj1KK/t88CXyxoFFo/Gz4ObwNrr+YoYjuoOOX70MyctVYQchpZ2snQ9OdU2G1NhqL9suA
XcKwtVo2mE0YECrolmllFvvKmE1qssD9JbDsGNq33ADSbrqPUN4Df1xR4a7Irxzj1xup9cSTe/O8
fjfnUXd1lwXsNQXXRNhqPpoVTYbN5tlV0XWUThhV4ldUt3uRaY8FN/JD3aWPYmyRHnX52CSddTbl
fJyL+OZVjB6NojjNXbOLRfxKWvFLh0tBwyL6fbNSw+1iHfaYjR/UJsuh2Xv50YlujSuZzqz1ZFFR
3EyQxhzturXWd4Vm6Psk8WizZ+CnZ97V7mVIxjvfLKp8zMzimbAH9RWMlc8jaIRAckfIexto5PQ2
+CCF8EekwVQy98P/SFSnroPElfd+kjoB42M4wXbvcHuw760kO7ld/OKOw34Bp7IBesxc0eqO9uLo
WzAV32U8BUOSh0NOZUmvDz9Raw/NGlvRh0c91oAGV78BZn/gM5lRp1Le7liHljlkjx50jGzxPu3W
1fcFlTHMaqz5AIrN3/VD/CEtuRsTPgXTrk9NY+3VOvccmF6j3+VcZBIGd4Ue3/CrsX0SHBw8+e44
/gPitB3wKYJljPtdYWjBDEt7YybFFk7pTeuGV2SJcSMY9WymMi02tgP9z3UiXNZUC23lkkf7fC7v
u0FsJ/cNRPY3thbWIkZ8DMKLB98pYRWYLpYn39F2liHrPaP2YbOYcYBK3G/0GbOTSoud05INxF7O
HYMTXtLMa6PAWU+7K5yadGPk9W/cna9x0+6mzPyYixznVwQgPbJNZMLUPTSoMYGFELZlN68DquAZ
2s7evUynd4YAnwnEzg2czxQdIvs1uIpR8rSoYIyHjsM2R0zpol9G9TxsS5NhqSM9YLDeEYz8wJbf
32TsIJPodRxWFg++zLonidSy9UuzCqlu7Ddax1DW1Ot+S2UEw1ry+Nsm0qqNI+sXbdTfc5vDVERR
LK0F6pVrmx/wqLl8X9ldXWlP1WK/d135yy0hzxikvTAPTRtjTgcyOkkEHdVcLbXuF/RGjCfAODk9
M6sai3sHb2MwxTy3SNYAdY3ypvEXaTcb9WBszGOkl6cSjxhRGWKsA19uW+JRJfo8xaE+z0ZoNbng
rA4L1aLkMFhmbJytFvHc1NoXIVoXQI+g8cGbgH9bJT8WtM4tjAV7k5jdW27aHAUsLuZAZf6TuzNb
blxJu+ur+AXQgcSMWxLgKFJSadZNhlRSYUzM89N7QdUOdzvC/qMvf9/26TrFQwKZ37D32kbFtMHh
b9MSbrU89w7R6rDSche/MWz4vPENPqm+Z8T0IAu2iRVBFzsWo+gWUghU8+zXwVhpf9x0OAII//Yq
rDKOuJNTdmzc/oMIgpFduflMXELJbi++nVPcFlp86KfuLAxTbRaAy3B8+B4Zbve3WYnEEUPjxOWd
6js19OifVDzvYt3zQ58J1tYlZ2eTCi5Tsld/MbPY6GUc5po4IBNwntM4P8+V/kl3DZVfvxmmYR/7
zV0SWU+EzFvnYYjW8bE8QY/btPn3LJLfokpPsT289hjTRP0Bg/bFU/37YEnnWbF5DlxiEk9C5y4q
LXnsEMhuLRyK23jusz3mNKRbZJ4ErVschLfsUUY824b12XXiOUOUcWDHFPBteYdFoxwovyGFGlWc
s9/AYWo083vXtNwXqfFKK4kec8LVoa0AbYZcaHaRaeNXy4JVSNA61e+KqzHQXfapuenyASABHK16
NDa0GvbBEePtyKDvI12HvliA72HEMp/PH7GJo2HXXm3wU5sq09AD6TDhavbCW9tevmK9qy9y0Pgd
+nevhE/hDb0OXQ9ssBvLLIwxcPMDzs5uWjxY45rVnBmvn6fcP8OzuilIQAE+sLyVi4b6rYzJy3C5
HZWrMoDWWv3tLqQEbjAH7xrHvoU2mm5amd1PfcduBt0UgMvHUlp3qrfuppSDWmRTOOBBtj0Ub4Wy
b7sSi35hJ1hLdMTi+eDAEx87dfAoOTZa2mKlTqjV7FHcI4NknY5m1xyRafVJG9iSsklHpITgys+C
eOX5Ts6Yb3UPNG/MvII591jeQuv//FmZ/ke75f8/kRoGvpH/+/IYX3aRQNn4+h8gwb4jlovFx7+5
UfjTf/fIwmddzEIY0sxqOjQdPA1/F8nC/oe7Qi2wlsDDY6PDn/mnH8Wy/2HAL8NOaVicqcyD/vci
GRuLYxrsneF1/N0x/wd+FNNiW/2vjhQAARAD+Rdii7EtA2P1vztSpr6obDXgN13dEgSqTBaiIqly
D9oWNvENjoP2bdUHUsbYkcsuA3wyO76aMR7+/25MdymmmSWw2n78iEARPLWxS/0rGVrYNCVNAwtv
Gd0o5MYWpBx63YTqkj2BR8xhzvTGGDATBBNKXlo2B7H+Fb5ZIQO/nfU/OoHtOX/UYQjZDzkrAyfT
8mcNBSJCNQfv3rawMfFzJfsMs4wORU4CCOrZ16zkpYni7KaBMsFLmHv2wzjGAAiljb6S4LJJHWVe
9WMobXfkf4gMcRDJAOscoIR+8mZvbC6drzj9IO03Z28Y1zAtWIVh5PbNObFy/0FXPjGOs8wZSZIV
RUaRN1zHXqbXZDax/BGkwX25mINSG6fH8dpluhHy6bNXyeV0Zo8BD7V2Ziz8SbZiYaGjJ+WmrAUV
n2am9S9sxt0fgOpKQjTnew/qTPP1ANOanwTmmDdeWDPmMw8LB7i8yZosGbiB8ZyJWkeKyDw/xplS
+cn7aOku8oDO9akh8VBvGUOzvY2HPLpwzDjvWqO8cdNj0PzNlewCN6qWmds2Qzho+0SbyoayJyKQ
1t+YHklU2yGX5MTSxzbEORSTGwx6ll2VB5qkNVqSIA2PrcR61vKUEUswEuEshHHjZJVkt9tLjroi
MZ4NUomOdLzsy8ScNwcFkqPZ8uX3BJRk4O6o2a3kicaIFRPai+qJVMnos4g56TYAGTj+a6WWF+yA
bCoVKcFayEDo56/W2XjmWQG5XpBVcgf9XKGqZsFo4LUhSmhHZr0hz85P0graVFJXPOmIc/qTxVL9
5LKAlCejZXVwPAyLxUerXTYn5uynx7xZk12qucZLsMa9kPyafSZrBMz0kwaj1mCYBeMLcTxrXEz3
NzmGJlcA8lgbqeYnXUasQTPjYM8FEbtr/oxHEg18++VudvkR0asSVNNGBIJvl5/8GhbdVK+L18YP
0M+4Q0jz9n7Dh9RePMxjbA2w3Hzwkeb7wjWApjJcQoum/STn9GuITvWTp2OOQOCwMkg9DcqfzB1q
OvFs167TgXlqu0djjMkcgCRDVg/xC+T2UPqyhqsxwSqWWWu2jz8yZtzOKAK/9J/0H38NAsoyv3hJ
phy2uyQmiDlojR+zUnxtc4ZHYxxflS3G11w3sl/caSSkcDfCVm9/UojKIaPgNtZwIjkI099IlwEq
ZrCJwmYCKKp2gD8aPJ0FWG0etny89xMd1SKAW5O4GGfTrLFI2hqQxNVIVhI4M2ru+SdDCehi9Aif
kla80y3rxK6bKaq35i+NVWa9sRknlIkcLXjYyIgJa2rW3CYIaEQ4jXEE2KOMMrwmrUnIk6xGk+2d
LIhBGaY1CMpfM6HyBKmvzhHGryKRM04/8VGUl0RJ5XQ1jD9/IqZ4W9HqgU+Zvqk1cpAtcgbZD6zI
YdBQODfuT2AVrTIlF1XU+JtbgkgrNCtsjpAxrduTtX3lFaAaN37CsDQEzi+EzRI74pNhtSoHoQNt
qp8YrRTZmr31J5N4LW1KNQb4i96pq1pzuMBhpHyN49jfSx/DyrZZM7sMtya96yfIy/oJ9WIVyV2w
/IR99T/BX8lPCJj7EwhGg044WJysQWHFT2iY9xMg5q9ZYjSTzrpZXCPGEnuNG4ujyHgWPyFkMSQ+
61Cs2WSsrqEvKKcisozdvX7lwVL+1mnWULP6b8AZC+pmK9bcM9T9RKDVSFiJQ/sbjfYTk4bRiv87
cGXLB4FTdyJ0DbfzzihnIlqyv/i1lcTmEzfdbsQPoC1zV1ib1sNt0x1WyeUPzM3/AbsZK+MNCUH+
4vyA36j03bP8wcEVKxmuW23Gw19cHOhn3Cz+bYyOdAhpGFaw3A9kTpKj8l+klK+39r/4TLnVLYL5
TPBbMAtN5GH/fqtbxci+wktQSndpe0cudHzk1qblZ2gQGilrIYwKxXlOWfn85xXhfzd82vr1/D9q
veQbYWvP4/PvJR5/6J9SQeMfXBSMwUyOWBM6NVq9f2oFzX8IFwomyiCYE6a1cgD+l+XY4R8ZiPhW
RgOu4NVM/0/LMW5kAw3qivc0BVUZELH/oMQz/jJB/+Vp0GEvCJ2/hXrS5p39P2s8IkDJUZW0X0Ia
GSaBBiuLmGp3D6yYuxzPxQZJ/x7XkQiaXvOO0Hpvh7FmJBTLJT9zN7n7wirea514GwEVaLuUyHXg
kOGb5II1KqQUBv8hm77V74uonw+K++cBMyygrhGrVTyw8c4U5WOqIffSuWAn6g2E8T2yBCwCJ69o
9o5apifJXBgZlE6MidMyVUudFW7jBJ1MmVjn6bLDQFf16xxi7YNEv4ldW91PGBYOg6reKotQGlYb
wdAzj5VRe1vkC5a0kcGTjHUWMEvN1pH5gD56MZsZ9iW45PaOWXFEzWN7Vsy6twwGol3JL0TeZzSe
VTJ/jTFA9pI8siif/K3Kx4uhszbktq3RRxN6QpBreSLJxjyacW+ydTWzg+MzKuYZga5IPBeFc64d
MnRoB6NMmIXoMRK0rGd2xfYj3nl4AIkzkQYtKeMQJvQY54amTp+Fh35ZX8blMa9L55xoldxkcQ/Y
Gc7ScTBRTWExurHspP/T9d6h85PlVxENJ8vp6i0hmhi6PXEDRJ25WWncmI6YT6mSjLT498dhNLod
w0Lvu64MlW8Kl21DXzL94OSfnurM+vKzpME90pY7v2mc01Kx15OL/4Fcg9iyaNiaVmbshoLME23J
cEqhWg+1CYHMaI/LBo81Oy7R3E3mkF00bM+IbPF7Tez4GCj6x7ku8dC2qQs8z2XfufRHE6MeC2uM
JkOZjKQqZ/YmKvOKsjU5J4149+NaCyt2a6WFNVEs67U/IpRjLP84Q5i4o05t3oWeL9uEOGwAc7U8
R7UNPouylc2LN+z1zvlg+BJY5I3NQruJchFYeR0A8uGq5ne0qxaGBfRq4dzEpX2KCvXiYCXmYeO3
YDRmLYe0EU+E6qasQ2LqUIJR8VtRhVqHwbL8W4g/gIUasRykqepQt/PitmDtDueub2xeC4QZvJ5W
+wxTzWaI7Jb6KU/G+pwgFnkaqIGhzm8lr9Y+6yzyxyp5buitAkYR23phMpj2xn7AQxu3ldii/SPO
oki8W4w/5u9U6wp6CYN0uIgQS0vvq52ljymerpqhamlo3Y3QJyYxdm1hR0BtF5aCnk3pU6A6NIh6
xiDbKlJxslreidYckksqTec+J4+PNjF2vsZsvvqqC/uU8WoCzLlgghVUnjEEZCPpgSFpnHJnUU9W
idZGlVHz2jFpuQOBx9zFsOfTmAHDk0PcAHfr16CTFe/U94NO89lNdzzcNyiB+oeFKoE5oFZCS2zT
V+ilMJ3xQnQp4yPgcbjeZrnHvVaisYLOtRn63D71UiB1XkZIceO4j7EygfIh/jAe0u5kuh+uU7N4
GWr8XElG+YSh+tI0fccz5XpA5Cyc0b1oWFg5i3ZP+Dja6CHlJMIgtY3HSYbEYT458fy2oBbZmIa3
B6Eoj9HghlmBCtrx/F+AhVg5SVfbKt8uAlyD7m6GZL4vUrgASashEPXYrtdS0jc6KL+uZSW1X0bM
cRGz7wbpE19dg8PB1sutlzjaNY39PxXeFVVFCabe7N1m03BZGOLOnB8XprY2RRZjoJQcPHQCkvWt
pnhy6bPJ4QI2eDsodGTIBbpDPAHBHWp1ZW2nBb5PnFEMVu0JVA+yAOFhrpSdizmywn5JrRrWDWoH
k0S4m8Ww3b3OfYOEMLPYPaiup9y23GgTsyi2UhPn0EC0UrIpSoS2IPhyvLjtR0tzbIwqzGJxq3z1
Ns/9MV6Wx4x7ImrWFEI9xIm2Ff4QWr3LFUZQn++wWZy3aoq97eAQYee0nwS5b2bp8rGTG+CX/N3g
difvjiUoAh/gOUPPW1neU5PWcBFg6dqkCweViGh6B3tjdv2bShAtDy+jFT9gDt3m6Xxv9Q0Sc7bL
2Ic0mxE7FHU/v4tcdCQjbk5EM3QL9BQ9rU9aYVX7HNgAzZiq2CsgdeQ9S+J7F1jfrU/ncENVysgu
x3a8NZHxBfPEGtCfyvxIAJ7/WEXeV6kmFTDOeJLVNO5t4rn4sCNVYzEa0362a3T/hKdtUsSMYafH
f3jCvINPepgR2DW7vZV/H+JNQgvSWTPDw27SXqy0kgEbSXkr8sECUMEnbyeMwHRlZ4Q9F4M0QxN5
OpF4eZclF6Oec3Ssnq328YyR1B1rDx28F31oTiaeHQ8I2aZO3W5vNSphNYIf7zKZIjv5OG4uiFDF
a5eah6mbzc/YJWUialPnE3lADAGYbA/TH6kZzElDSNMZ9kFz+jWKQB/9Y8VY9lAXef2I0MW/zq5e
3bZtymkBMxTjtUN7TAJazTO3/m9Mg75LthKrzO3Y9D42T4Bpzl2W2q8kyeHicWwspd5wih3beCt7
tuXI0VY3fszLmeOXb5qKHT+pYVmnLb+XBRErJ1OjtlPcqxvIC4xQOPp3pek9lBKxNxzaT3K72T8V
aF4VIv6NMSziGHkIMNGvNiHRj+pzGGL/woP1XjKW2fATRcwwfFs/1smKMmxs71esenLzfINs2nZB
ua4nV+nFb0oa3RE54Vthq0M+dQ0vBPPrpqFvI+tOfySUVz8C1c8P/UyCVGFP5YtSpb3NuZz50eP6
oiGCS+hCF0kbMHo3yNowaldcaRUxNDt80B3dbxyFFQovZDpomcaFPFn82repXyj0WRHETLwBzsbC
QkU0qA0hFM1Ep0qaH38F2tCfkYkaufNHMsjyrfATOBC4LlB80LcFHhr/bUuaQsDml7hF385Dw/Tu
s85lbt6qbN/bbRxSdi1HIy+SfS9G9ayEQWwby6kNEjgvTIZGBi2z/b0PfzLRT5R4zaWNaIdx/vfB
aNkXlFUp3SgzKd0MXMN+qEv1DhrlISciNdHdXdcNd3nLJDJ25B3hg8mRH5Ghk2XFgRBKD2N9fgQn
bL/0dMVqTua9n5fpbw8QQ6Dsvji1RTzcla3H+qvE5ZzZXrZVCfq2RY7XpYXajUoMIb1decU2j6O7
rhmyF5fovyeTuMFbpwJVAWpyonIG40W8fPmY8y3e+JHRBYnNtKocSEDohxlviDGyXIWtRXkZa0GH
HPMrYwl5Zq+6Mxf2C11Mti2A39+RuXpchpjc32pHbNt1XXf5E94U7BFG4hxw0bXrbvWXOy1HK5tf
yyg6Or0ZUw1YYYvui7S1k5F6r8k0vYyEwjW2fmXqQXE3RSAuBpM3syDwc0bAEPW4fiB+H5SMn1O0
GTMBk5uh7u/HHieCVIgqE/8kZh16wiiDcUhYVy/9L6/C02Lnu3ZEWFT81nu44LF+zsi+2vBhmnel
ee99KY9xDr5s8MqnwVN/vNnYSagqhHLi0By9q4nWcbu02qUYpr3poV72DUTYZPsV5UO6Ku18tAjV
qmSQxq9ojNQ3cjAnIDtxOtV9b99UGQSdJXbSc6vF5bUd2XrlnhVg8K2QyRDcq0UuRZIbtxeS4BMW
sc6tG+lvWsv9Sxgj9j4L4ULJWcdHSvJDGVkvMIpZ5LCA2yz+zF2alCfMMXu1sOMv7Pkun2oG7fnR
rZKwYG9DHd9GQZbO+YVxhHlAmCHuSFJOD4VbZXcTFNY+Gq/aaN+YkS/exDiU751tXXGXJpt0nEh3
hYjDc1SM+1yY0S+lRv2DMJ98t2SpH6Z6/23GWh0yniV2LI76QDQ9ayp0J7fQb+bQT7Ej+Ytt3mIN
vZpefz/lndqUVSo+3IQYDgqo+DtNEneNtk4/yey5TsXA+eXy6gzDC7vN4skX1W41eThFvCe7BK0q
H0ol7NYzMW7drAJ96dZfTiGq0DSb7los3KSmnmSYEQb8nLbzHQv0oPOA7lKvEDfXpnuZAcbhjK5q
+2wb0jwlRfkte+ADeGWMi29GT63BNF5aJbyM9jNN5+6k+twMRYXdJRHZxejS6MNPSftCutimC4r/
hmBi4dlhzgTxg5FSe7aHJtkN3hJmZjKGlJ7Gdsjy+HZq3d3o4mrC5Ompw9xYB8LrLw5rv4d5bu4d
r0IDXdT3KxmXieCrm3cXRlPTRkbJJ8nw9QbZIYYa/6Cl5YnrDTSx3ienhhv4gt6iOnIcJefYZELk
tcz6dIXSZkrzG9lSufl1sezJ0+D4Azn7IhuQvsoqnY8CgPQbYIbA7GD6mlqQDugXKVjDEl1QXNlI
nIHl0gYdLOIoIWqSGtOgcuT+2eerDnP02Tn3K85kjJ4GFu6nyZvvjTz5dCxJ8Lnysr3D1nUoceaB
AvPs7AOvXrutJtN9TDJD39k2ZXRbcRRJ39xgq+JiS9R0w7DM2dRZfgdY+FZKnTV+Zx6E9jGgn1Ia
Bn6i1w+JQYyq0u5sxvAf3TQwrDXS/OhZI9WsxvsXRTZKy2XIDslom4+2ywMs7MbbgWc+N23Hw+XW
3bauhI5swfjdJ83RxP92BnafXq0ln0KfpTLT4d47j0bz4Ge0NfgJ1y1u9e6xXT54g4df0C9yWh2s
eXUqOFv95c7U1BOaRzccrIoVjzuweMlPZlI/M+1jGqoNiC9xsrO4oak7o+imtaLGL2B5WTWzyInu
GVcvtHVdUSwr68mzRf7ktqKl/DK0Y9fm7YuVu8WN5gLIaFrmcR0xy/cduI4qYL4qQ2uIBU6snA41
F4AiCjwwd0kVwQAT5DqNMSUHmsrhpuSa//ZnrJ0zPv2NoyfzjbKdp9otqoNp5OpTlqJ5zDSHpLUl
Kb4bpPU4/OZi505WFqD5VChhFOoviUbBNEzJmWNmu9Ipstc6T/23ylT9B8tJRpeJ/Z0aPRsbL2c/
U7r1juHqmlrH2CSGFb4ZYn1lfKgeUze3TjnG1Un35nIn0YeG8BGWzyyutD1OuWlrQ7iRuGW06hc/
zYCQxq+IzU7irT47E/vrvtYICR7cB8hhzL7BwN2PkC/RpbsJLjBtUoeOiftu7iciPGCLbkGS9nfm
UFd3dOPeDaKvEXtb554nDas2u4cc22vfb+d0Isp2Imi4h5PKnB12cLFA08ldJzl6iaY/Dp5ILkQK
yEARVX1JjSSYFZw0T6btKZWRF/NXquG1Rk54003+fCSgRT/OOgpX1EdJz9OC4GfYYUmseHfY7G+K
yRrPfWHcGg27fHsANgf0AnIM8qSOthmWwafl1tWeEgajHMRciFAi/dXHy6upq0s09vUVi5EXmmXG
kxmtVvuyE1+1ROWFsJrrn8xX1WwIUS3o8ac2f5jy6RONxLJFwomhpTWhSMyuLwI/km9CI3UbDwcz
BIPeeu3p630VaypUJH8yI2wZwUxydK+zhU7OyKI3I4GKvUncAeF5nVx85svAxzQTjhwojDfZ5+0h
crqBE6rie7OSN7xJ3SaRiFnsuUTZk9dn6s0YrwKgs67KH+A7vWljc+NLKRgcDSqoB3ioEbZkchWW
QEfdQCk6COQ/dbScZuW5h8FNddKSNdZDhJCz4Wo0azrWYx75mxGYy0amURII8FnBNDO56AbdOzhl
T0xLL+IDOjMWxKlYzg0P91kyt7/NIgtSDlT9Fy/Xb5u6spDWVJKDuV5YYHutzkiSOIKQiDlS1Stp
wMxeBp7CZb7abmbT0xXxfVnW6qQvJsrlCJ4iNiHuRIAp+G7G7pspjQwWMS0nS4uNg+y1Bp/eeHZS
U9vrmAxuZ+VePcrQGpSIaWYTetZJPlZF+QfiDynjPXXCFoX1gr49tvfNgpMXjqKGIwAvUqa32rER
NL4/02nA9yZRwlpUAKuXVYi4lkZyapmElsmeUFCAb0nnjTcwv3eycSR7SUBEJv/Nuku9neXWtvbN
hNegmh5yASe8naSx6zUZHRcjH3cVfcgbQtgw70zI1UXcnFk+UkZZ9p2ji2uGoPGxslv6pSphfFKN
3tGxcwpPtmUX6dTINJF4X5yp1U9dN0+XJE9mYm8oJGlCDcB3nQpSI2L4aTUHqFQdWrLS3dnS5QdW
w4duuF9yZjIXJ1S4KD2VXr9B8dMQ44OfcicCJepYMJdoybzZpwN5CHmWQ8Gy4nc0SvDQHrFbBnI5
RQSPoVmw8DKmi7i3pvI41e2yKzNEukXt+3ti3lCYi5qNY8dYurvF1HrRl+p29KmEZx1MZo2O32LU
ggEPjZdT9aGj+mceaXrH2L5XrIdIQ9VfacxO/kgRDrKL42bYl+xv/jDDCFpfeyiI/6ZuraMv6fBD
IEHYFbGFd2VpUEhxhL8I3T91g/VLt6GBFVb2J46p/Ji5F88kaLobSy/qwFlATNbm9CmKVO7kuIrN
kNQ2uRxfHBIBr53BDpK4Clx+g4oCR8RvoP/ZjeHr8qDHEBmqpWdd44v0c/9PbZQ7ZiNbcCYG5D8H
o2bcnl3HbGjrq+HqdMIJbN0l4Rbf4+LZNx7wxI2f9tq27ueHeRFdOEfzq9XYcUBn8UegtSxzXe6T
Cg96jh0vRt+/HxlHH5K0qM9TVWjhUMWn2Z37y9yq8YCLnjOlj4pz5ru4h0b5he82HOXyJJhtPyKq
TNYb1BRnOHeftOas3UHebdoMk1c6J2JX28ReU/8W6GBA9DTS5x+z9o9XdaddzDdtr2cNw9u0+k0b
jLjSdLvkVk8WjpxmFmZ7wdBT7tqhmftNzpaZQVzWizqcqyFWn45XZBhdFfvWTV/2pkHiMTks/OWL
uw6k4SrhskyWvTRtja5glLbcLnVefTkEw17LNNKyk/RScsfBXHpvYoDbtOGILH9PfuN7yJSb5LNL
i+lktNG4HTTsNQyv8XtWWdE9z/YKY16m9y7CscWz8qKzS155RGl88nC/2qtgG6YbWPqWWRurcByD
hf9QuDWh1ZOp72GK6ryrnX+NolY9jEUWnxckKKuO1Y5DLZZ6MMihR0aAOYyCPhU7TPbunS9o8zw9
is961aX7ykmdI/m0OGRSQKZaYt33i3aGqPFexXbORGU5oQj3N5Xp7mf3q7N4lSbwmJ0+f/dJql56
Rsq3bgtzAXeGxc9fuLuqA7LgzAUb99lg7bOAXFwazjM/rrwtuV1QZtrxffTt+04M6XGpwMiRhBv9
8ldjLBsubKer7wkv2ZOUKcVIxd5XsiUzqMA4XaG/L3YbZi4AzczKT0NGpydgOvV1OgRIwOZQyDzd
TwZ7jlwx4U476QU2Ah5RO8zc4nsx6f5vLAbTRztrCIQW7j/2+DZ+myWFalfwyhljh0ZyKGR/r/r5
jh02x4a5FiuZc0WxDuejHHmLcdSP1HLG3kyW+Ah5/on+5omH1Ng2AtuDqb/FhgxdL3rssU6AV78n
TdL8w9ALtbRmC331M/SXuMjysIfZhqbdbh69eXKPpq5/IZdlZDR4jLtHE1qIRb5ELnXAE251TSf7
21q4jWutN2+RBSDThmI5VjoDaPT8FAUzT3Tv2cs7U3fQrxNwRmlmfYAlt9i0BqoFp49Z2WTCPoD0
DkgfB1+KfB1TQInkqTvKlgxucxXGc9zDXxjUEFZTbAGThaKujQvq8Lr0nLtOjZifpOp3OEaiN6bg
KGemJgND6jqvvlY6nDE63DxgU1ziSnvVG2x2G0J7yGBAKVH8yuo+f2XtVgQED+e0yAVQNGAEFTKf
HFNDVdqh6RXJG8KWd0bz/b4qiy+Pp5trHS4iXozaOeZGwvYkK7Djy5I+ultqHyVr+egLpv9WQ+lT
kqTM9ZeDapNbJRZ8LbK4pKY9n5m+T2Gjt80DIfHGZf0FO5dIYLsxrU1X5790nIc8bWQkjxpjyTGX
BoL1vETtjN/SkwumjKrYV20LLWVwknCJhiOuJFwmKvsNovjJmYrTGC/EyGeHyLQZZ8dIc7vcy3do
ap89tkNQRaVJyQzzxfShU8y1dudapUJYXlnq1pjUQKuNv0+1yOUtc94gCRrf21F3H4TZ6c9jmgLf
6Go3MGgQ8KJkPsVIZq2j8zS0QEHesGqMf9UzJiPBiupeN8z+pu1KvHeDv9KAMayuiah5omtMe+AB
PLYUioGqpR9MxNoePWKRHzoAojueO4xIJtkhW/SS8w5VbhVw7pnQ25zsHDl1F1DY/ua2NODfjdzv
DcvMjYcHZkMQ6b6rkwdSqJ2ziZdac5rspoqHejNWMfVs3j5Hyzp9M6oAEvW3IbqjyAnvmVVSPTWx
d+n01oRbRv0CANio8EJKrDW28QHcxETW4wUKgunVgB7xu7B7ONz4FLYRATZB4dILdpVeQu/wi6vn
JPaZFOYmqPCwWwofPh/8FLX+ds7WHRYeLiPQ2R3TXhbW2c9RGw5AshjSvHQ1aItcd7m/zO5S4rw/
1U49HirMw9rUFY+0hWuAkPGodRAKK7u8K0Rbhh4Ouk3kt/YW+KG56clTw3yX86wi6TFNyWxXEZWS
UspyxUh6JG36jUou6TZ48OS9U0rYVxqK+oaZb+ZoXxqCc/7ToDTjgiRHKq39C0aZemGObljsiOsV
K8keFwTGc9f3390I57Es6NHbnJagLF8xi89c+0xijdxs7+KF9KkmPvlyDLtWopwWMbZr7EPY3h7r
GG9Al55rQoCwbBB5cx8tqXPl0i/DxYConOpVEGfjTd0KQoME56lsVoCaio4GoNXAdXjKso59BApE
bk6zhc+V05v19/7gZKekhbAw1NeodhIYArbOVnSVfsPW1XbjiNdKudYTwJvkEI1aeivrQgvcBif0
RssapqKFCTRjYqbs0x5NyfymWFlEvKFHviHAEJbYul7BZFcHtWAof+Ovqz+LJc1hbKW1x2zRf80p
xsR2irpfmb9U1KzIBMm4mZiYGrIL7QJR+mZc/bTJ4r7bDATPoh0YWHcOEdsWZhoLWx4whxgjGf7p
xnrwyhgfGKyCg9WVzmaEtHD2YqgMdSI6KiQUqYumQ/2YC7HRa2a/nViiQ6XEHQLZ5tzjpgJTjijU
h7bNj9gSse0WVvdpi8w6gJd8G9ejLpO4xxy3Z2HhsG9UhaGOFjLDkLS16Czd5iSWQtsXMQPKzHtr
Kyx8w4TYEu1s2GWyD+uEUzabNfMCSoTzPz5EcfPVGi7fCA64qd6nXf7LxQyTDURiV9vYmB/Nmlc8
Yd0r8OjI6lXwA0F6o/rMLzZe6W0lXvOKebJXP2g2U5Rk5vnUsDfbTH87B8Ef6ubRYLpak2dZ5htn
ENdu8sZdOQy4/vzxhdf1NOrdAwD3ejNXxjHD89B7A9aWIVAwz1Peo6LOwsro9tOor68/y+A8DosO
k2ymTCYJ3GNtxSm99IAqlHHENYyxVHwSCbg1eFPIuB23xDNvGgAlprDDGsZ3sfDJ4w6o/JjQVmIf
8swj7QDjBaghpLmyf1bM9lkQynwPPAT7ZGmJW/yiwKB6kv2eStwmmx48bZjnOFwZlN4NNMv7LCOj
KO5kaIzEv6U22yHGSnyHuv60jNoeU1NxB66124re47iyvPjWAHmCmQbwKNqbOTC6Xj84kllUxljx
Ikbj3XUThCGlyI68G1Z2k0SqvoPca227JF0NKD2VPyiYrd62n5Nja3uOxtsFaXCAOWPk3raeOo/F
CTGh+Su3BSKBokT+nUp/HzfZW9myEwTcm4dwNZfAbfVvr7Dm28SFwpeQzkbzmMx4OvuIkbXrvCwK
D8mYs9djll7P+h5o8KYBzJ9q5ptJi1KWxd7H+2TQXxQeAwhzrIK+xkzK4BnkTwqquRQH6daB5YBr
hIbxRd8SNnW5d1EGH6KkPYn/ydx5LMeRpVn6VdpqPZ52has7Nt2L0AEtCBLkxg0AQdda+9PP58zu
qiSzijm1m02WVSaJCES4+/3FOd+pvHrvp9MC77tH4t4GpIi5GlqQZi72bGZ51jHMakAtCTiSzeJX
BnkerWOT3pVQ21A2vM+1OYASACNLdFBD+PB2EfraGwtmUBRELQJgVCjg0SHeYxiJh2uSPQ+OYLJf
qgdPWpLoTFbO9uA/EI/+bNnpCMiWqSzqw60jWdckDiVrE5s7vgnrtqJR+KxlS6PdBY1/7O0CxY3d
xuoGWSTvggFWJfqdh+Kr+qZp61gh5pN/GgYB2WGebbTcYts7EZP/ycTAsrv5iU34JZ67AZs4x1qi
IRNEmR9ewYl6NGOQX/aBA1nV9emVemTeSRBbVDEYAHV2GdLhl0mwFYl7507xrRfXD4sVgyIajlMb
Hv3GvYtt70HFOWwMhn5bMbRQ1qV5DBXgixAXwV4mJmfDFoEktWt0ToLvC6JpJL550sdHJy2v+SRB
L4D/jrSBIOcnT/AsySsYooh8JxbRuKtzuDWUfBq6pkAhFnr3kOG2wdwe8qpnICM59UANhfuRIMVy
TwlKGG7kCIbQXg0UYkMURnT0B+7I3aLqxf1gUL8CUmijczOE4mmKpyQBY4ULfceLczs7ELaID4Pi
TpISENJuKe+h14YXVJJIz4xeZ1iC59IgZfgO/Q25HkyuuVl2ZZepM01pho3UzvfeOtiUaAy25UxB
ZNnDjdN6Gano8tZDCrlBhQMPzxK70gQrlnd9xGoccrYKz14UNtcRase9F5uZOVLyCW0c8eNu9wn5
GC0Bwe7nssFoO2erbY+tQ+IVe8Rd76Ktd8uoYkBO/rzXbc2Qf9Gk0Jmh2vtuQmhGW+E4lQ7Y3uiO
CLobHCb3CRfcNgqaiyorb8Skbr20fFrnn4fWk+UZf5bZagLrDsSTBWSKduy4ytg8zdMEbW6ybppU
8VDAN73r2eSxQG8ekJmxzlz2E+N2UCXhwQ6XWz8N8Vyuq+FV9F1K/SCtGaJ56aG1yT6kBXIF4ZSP
pRUsbIk9s/csDBtK14y4aNkbznAGZoSnWDdV20VHKzK9BYkOaHJUzq85Eutd5QEXrB2I22Q3MgHo
6qvBo14tMF7vwxYN4ujN5QP1pEvckOg5fQrrSubc3Zn6fksN4aGya3UoiyTcEgD/WMwrhkUwafan
ae8FAttJNHyPlYY2ZIXswAc0z2WPyyWTqPY9TUZ6tmh1mOPpgrqkvqyq0jo2admRKZ4Tn6Gz/HNI
JMrWWyr/qoip+OpqfK5cMCaJLaqtFbTlDloNMsGlWY5s6/ybuK3fB5YJ2L7DcT9McXxnDa3aODyf
9+zf960J3rBWU9NFIZS6tj1ZgxkxRa6Vq01VxoAmuDJi/MLitT2h6eT4xFyyszQ4wAIm22lcXGbz
yxjewVZDy2Kks8NGjTgOQswNYrpm66pq+tBStVzwWk+xjqG1RjMWwNkHucoUCZAWNr+9g7EOhkYj
Dq43pB+o9KftzOgYrr02d6BWmvu6BF02V5RCdB/2a9iI8RKh/XJtqgnvkdtn8d74AV5Ft6I0Mn12
TGRPTAQGh3vyRtUlVoTxukKliSkPfYvL7pw0bN8Fxc/ka4aslnZfR6z79M9J4H9wBnVHGQlEtugI
GKFg7FiSipDdyPMcYRQAgVBb4BzmTAA6GR3WFexAdxbvfjc08HNnTY5BWamo/lIF/mxtM0TB39RQ
OzzUkHJtIjOj4ascGyVvFE3ystUt+KS0aq8bQCfxoZtX1Qds69DHvK/Du1SVy32lCsYymNkoxsop
NNE2rCOYAoVZGRJa4V6h3sqFvz6i0a429b7SlYfNmzsDZ8Bb5cyY5RewAE2OAJ90Cao2An3ak0P6
eL/4d6ogl8ajX4n7xdz3gAJ2CF/Fpd2wH9sTzz5oGPijJITPRw9iMd/bmXS6JM/9Q1Wa7DYaKYfm
Ib0abVPdy0H1hyTrX8ravrUtOpzEZkuc+4pUyDS3TpAouF9LyIcqZGwW2fxklyFiVy7yWnbxObSg
h5EgdqeTaT4NJYmrsDkLn9G7NzxH1LSB6ffaTIe2Gy4F306c1C+lCT8leFJEFLU7JgFXAdytCR6A
UMz1qA33VTJhrZGDlR56TkeCKV0dXtRhD6N1cmKanNm6XEhF2yVdZB+pgvw9bjl9GSYOr4mCd90Z
DV9UOx+qUgSgLUZwphEJBhjmCSFjB3gxTKHzALoC6SaIHonVPyHsaaiC4eOC12NlIicvIEHoj+bO
uLtGB+DjtIDOR3ELTjBugiuZVd0zBdg9THe8LOhA/JMVtsMxpXPZJHmZcLL1ybubx0QxuNVDqe2J
Fni+jZR4Lx3FJto6Aw6/EkkJ5GW6qasBMkWDis++ssoGI7bz6rProqaw6Rsbo+1D5AcWpnurenIV
u+ENGu4bWEOA42twGsDEySaCnlgNE4c2InucXL0/Zf5L1ngsBnSniVZaCv3S4Gj7PHVUdlEY25r9
8gAA3crOeiycvVLFdFcW8rYfm37cGSaQV+7I6HlDcx9+jlZvs52V7kecedAapiI7MzEpqUE19TBn
ojd2t3kk1FOeZhT2gGvX+im69CJjs1wA6KItS31mzPoAh47wvYzbgwbB+pr3joXyOS7NU05S3C4t
5/xCVX5ympwC016ul+coVow92Bm/o6Aor+18Tj7EyGVZS1jWuVA1n0clXwbSqKFn5Rs/LpJbFRSf
e8KHr2lX5k9CgfJBQt3cz4h/ji0qlleXHuHcV3V9K7Ab36GuV5eYhZKrlg/3lqcyu4smI7Qo5ZtM
m2I8e0mavnaNQRGMMsNMMuE7YMqnCXG8KtQS3eBXy/dh3uxmN0z2TSNBK3VGfCIW+DWJhu5yGJk3
uxmq7okP/CZxZrNzJsiSXZiO4Hoz/SUs2olU4TJ65H7dsiUFRQ6l+Iw6+gpUxbfCGc9kIHaXsxhW
TuCQECDUV82wd+zpfSRbeRdnmOdsBS4s6Jud089fLW/oCOOpynvTV0j6UwKZezjB994wM1sUvjwE
JSEgtGmz+5iU/OAR0cE2E2W7U14KWr51vnR2ms67qgU+1Pn9V48HXL0BvdGuKDKS54eIIRVhn9UR
MAD8ScKr9lInr2VosUgYbf/Cjdr3lvyK7sQAKj+UVu890oGpvXRDcg0SPp04rr4kAyvG0Yq5bXxf
7Kp8firXAHfDeGhrHEz20CZumAfZBMoyxPTXe39Ols9ehCCT5bFpmbQUj+RAcRS0mTuf2tH9EvXG
XOXrmsOfiuIpz8hDXEJMA8vAl1qkSE88L+T5HQ/vpauxfKocD23JEHgphDow2UOK1c8oR3TQxbtC
W8thbAWq+zzKvFNXOoxfJt0WZD4N+UkPg8NCXbKdgjPwmd6DjXHnnqXuL7taobOqArs/ucIJLuFs
2Eevs9JzTCPL9ENCHctxi/Zr4gPoxksHm82NgkbKfKLKt9ggj20Bd7cSjHWcNE03bhL5d8HSSWQm
nnXkjlhYQS2k0QK4eit8Aw83QlZJuZDBCPOT7Yjz+igouF7QAKKEVMx6Pabq1H1yvqrRS+2dJuIU
DOWnIXDDo1YGNe/IlJHntgi/MDOhMHIb8ZizvN+GVmi2reu2D1lrLozWJQkF03XpRW/xUvVblpHJ
FctQs5XpqPcJaokKbgv9jibq6eTHAyk3yCK2w5S+Odn4sYrpgzFeI5Or+zMsxunUWTYst8WRh7Kd
PxD7N3+cIusWBTYDac889bEqNkkpPg/YAEn1c8JtLFbxcG3OblHcFGAvjIE9P3ot2YNpDkgDExCz
decJxlB4LIpA7KF0PCiO6fuxTdtjbtkYiSO4VuDPSrHxkULtUtwvT6qo7lEbONuECSKq2XUDOzON
FeSHgIFIb1gh7EfySj/U3y8OWLsPGtUGvrd52ZdgpEk5ZgJlEiaNm873re0yt1AgGrG1BO1rTN6A
6TXEUSm6MxrO+EStzWPHXfyPOLFszrKacV5p1ad6jP2tcYGDI2/HR2JBcnSaxLmKOq5JP8RegOK2
A7HsNbp4Qz/jnWIMnmFOcPJQptfCisVN31tyG9V2wOeiZmzfBcl7uBa3pUNFgyyEtpy8372DBHfS
dboLCfrlKqXHJYMN/q+s7kZV69vWR2mvw3n1VWKf/4hsfIRgVk1XlF7whSbrbRmidTYk9ZaL+rZq
a2qdOcmZK621VpiT1bDo8coFTPJ70uK/hW34pUnvbfrfbwQkITyNuv/6l4CH9fX+/sfa//o///36
u5fu5Yf/wywr7ub7/r2ZH97bPuv+x862/sn/1//4H+/ff8qHuXr/z7+9lX3RrT+NFNDij+AF/Wts
Q5+FL82PPr71b/zu41P+b67ApMet+d12t+L7/9vHp37TjieB+ytbAigU//Dx2fZvJC1juBS2FNLB
B/h3H5+Nj087Ln9LQBl3Pflv+fiICP3J1Akigmtaa6GJMBX8vJ9MnWRrwxXgUhvDMLkFa6p2jkUN
j9u3FIQ0RuikKizFrBw8231nzIP7JdU9VvdY0Ka7EHElq3MnvWnsOGi3M1qqYkfFLgNyP7rlWdoW
zhCnKTFoyBSNAjuVbvG26eQAu+kUlL9zBff5YYFhD7MLAA2pZt9XKVEk/fvecjxrIyflhszYSzbh
hcqQi2sTokuSfDnUbBM8mzm46oKFl2XvnRIiUlWeOHtO5s2bNGDLQtJQn4YkLHppjTp8LD4NeX7A
43gLYOc2crpnawlgNfvXFvDclKG3yVv0xelhXUA7eMJUSJi8yvdRNZ2CAgNDK0/8OYT9iR72JP4h
XfVp4NDd6e5uMkK/OuojFFmWsSJS1wmDTSTs2ypo9jg1T0y5XurOuwksktP85LKqDcvWiaJqjQZO
uv0i+Zs9fCQrrMA7QPif6IPASTOLYM7BP/ZotJpmE/kCBIKe+StgMwLGVBXeZq/Xz9hJDnORn5va
LqZDzppW48DpfFLRYg4dSOBfVD0ZaL/xcIi7hF1j2U6TsytL2l/X8sNPTCjDZ1mX6IIjnVnvo5pZ
k0sm29dDQ6fJg4dd5SSUZEulG+wpMgLzvKmqnDkY+c3pU4yt7CbxrZJlSajtq5nj/dgVlXeZpdgU
VYrHakyHBq+9G8UPnYvUPsZLMO8AS2IQ4EHGNMIFe3FoJKmMCBapvHcQLeOH0FSc/FiFYrB6I6MN
jks26l1+L9weKOmsxWGcKYtFMz0SmZWxTxDB+E3EJuXhPgSnVBZA/TIr8PbQiIpvczSCG5wGzsYQ
ylbqsCL0UUOeARa3p7rNaDWKNnqbu5XEYznIU6ls0tuQRdE+DKq30AYAkkxB/43ELoVMx/YOLbjJ
dmNkPsPMnEqAxf5UYl/AjxdTJ3XE+DBtCMqvHU3cczR21SdUfH1xGpsgXLAEaUPvn4xI88uWL9i4
ktwupKAfp8Vkn5BBrGjwwXHuJgZyJDOBj/nCzJE8mTl3XueCl97weJ6ps5K2uHJ0wvS/TtcoJORM
Dnpa0I/sLwrzpikpuMYixbzL5AMsM8IbFqSUUftKWEUPjW0Ox3ifBA3AMCRzJj5kVEvA+yozXtkp
fE7wsILAWNtD2cvopLnC0heAvGx7fvUBShdVUIWv4KrM7Pydrc345ulGRDcyj8vmFaakZOUytsWx
xlSIgNqzqv4Y+bgoD17D3PKEigT9agHg2MZaYwfN5dTO+pmLh9+RpxNj75rR72aebBgzMcc4jcA4
5OVVlvdJfEYa5ELT7bwUMA3EJKAvS0poVN9gniLtkTNccQOgCfTakfE8yxWLegUawNWS4JE7jlOX
Y+kH0oQymr4kwKdBAcceUVj2fkIVE+AVpjpft9ZUuowD8TX1cmC2WGQjypCoJcJhU2Arand5ZBjd
FdMYRjeh5Lbe8VHV3mYEA3FKNJfdhS0ryjC7JM+eFiwW+8o2a/vs+j2a9NTzCWLQ1jQe+pH6H9ll
r10YoiHS+IjxWrXHywIwggHCeBvj95co1fN52vGEdcu9sRuhT/6CtHQnRxZgl7BlzRuUzQbxbF+h
qLRnhiJbdr9ttxszyRI1cQXDD8Ripr6qTet356oPOrk1WZGAQp+M92xK/DenaJgR+TWjH7SHus4G
ecbojKZHkQ4KLNSQWr9xfMdC1jUzKbuwRFCMV3nYk34eYJA5hqB1+7uJov9mLsl2RIDTQB7I2OOV
J3cckeJOkq3EAdA9SxRfBpXaK1Kb5VFz366dkMgUzoxwRCekXae6mroufkdk0YAZT9tqvvXcMoeI
MSgZ7dmZJGeMh5PYyiFHQeeFlW/vmRm6xBMU5HRuEtjhHVg9p3jBOzRcBfXIMkYZ0pyIlXT1hiMA
VSZ/cZAMkFq05+Dnh3UuSicScHSypRNdPMEmpo86Q+Dps1X4huMwdydQwDQw9pemSEjdSMJBwKQV
MwDJrMDHp5PBveynCuHYaJF+MbZOBlA0iPA3c6ijwrdkD38UzyYtd6gadvBsoFC2Ozxb263h3OHf
4LCqdvXkddNB+6OCDhw1/qoTJ+1zAwGo/TL3MLY3pgrG8SBjbHlbPwmAzzJZkfY+sFHcbZCGRAgp
dMTEwA1cVsheWXsYy7Kl/Jq39fDaa2ZQKPR6Mjp0GzhXMb3ze1uHOLwGItZnfEJD0APEhnko1WNt
+OEyj5jiiSQSj6mje1b4WZafyM10gGrqbL5imjt+slE2EMnSTbtFtkm5a5NRvTqMsHI2h+Nq8h5l
jLgqBMo6IHlAFRUUGRTKPI6PBJlb97PKF4wapMR8dryPxDIwxMzt/ivhtHNGZ2xPTxxPmn4zRAS6
8d3QvNnIQyGnoha9nWery7dRPyo8S7IJWHTDD4AR2LPr4gN2H73K1m9A0FFtq9EhJAzpePXmF34L
77NuSn3MAxYxm1EE8KDYG4lzhIB8wYqaMypDHelt8dSBQzDoH6mgfU2eyEiUsBcy+rXqSX9Ro3ZI
pLY9kr/L2cWKSYbfyKNPSBuejuvLb4zWGbDpamCaQeOf4kxYShe5BSJ2kjacmhHtkpbeQ9kiet6Q
8dy+YUHv3Y039nx9Xe0CmaQb5EuCoc9pJAyFCpwaZPWkh+I0yLIH3dREMTDtQbdS1ob0o8hbAq4m
zyBgQKTDAlLla1/cFlMNRGCR9sVQaQThaA5C0Lh+Oh7myiMrkQOauPFRl/V9xOYOLXifRF+4Z83X
pQWLuHMWd82XJNJwpGkECsHzcBySA7Pq6SETdnHfxRrHkXEY1ZoFR9WelTZN/QSvb94vHJcXCAeo
PRCkwFYu8wqPRVASrbDxctxyGNPbxd4vggESqXqLekUtyeSKf3b4CTwAN1neoAY1sHDs7d9WLsi/
1Vb9y2bpj73Sf/2y+fr/sK1y6TX+NSFl94JA/qV5+4GPsv6V3/sq6fwmHQeAgSsN6hjj/R2B5/8m
PF/Rp0N6kJ5x147rf/go3m+eo/hvSoGvsfmfv/dVjv0bPw5i3eqlMTRk8t/ho9Cf/QGVw7PK17wy
rwRqz7W5WX/sqhAesZRDJbIdy4ZrrgapRqo5ut24Lk9/+FTufieu/EfR52zli679z7+t1J1/cFi+
v5Qv4bnYHqh6rf2Vxff28hAXIX9Y/q809oLF7pE5Ko3iiJdTWG/b9GryhuIqEiHhyE2ePSUV+/Yq
HqLzr19e/5gZ9/vrezSRK+aPlDp7/e9/eH22f3OQhwvUchuu651UkY8/nFvjQE9EoK8VQwLkI5hB
gRIiWnssh0L56OnBewsTL7hTtmkwmJGtlK+u1xr9uWxw/gSplcuDWpK8OHpIsL7VI8kQoNUitqFY
qaglrCxnDzyUatxETV18m6CaZRCWSabbhGMdfeD6IVyhIVL3FQ/x8In5oXrCvlBcm4En9p7Uj+jp
1x+IlFx5f/pGPBugou2s34i7Xhx/+ESAquJyQFm1HWNDhd0LW70Ug0NoxFw5MAmAz9ifqETkS9a6
7GjBMsYjNkB0rhwmuv665OiDNhSPaAcjUL27Ng6rt1ZO37upKg+2BK5BG8/wsSVHaln9RnvsyCPH
Vvch6MCq7aIky16dPqph16O3nU5+V5XPU+8zQYzdgNxMtJkYKf1o6gEkWgl6Kx8eQdLPbDlTr833
Fr/FSNRuH90MU1sr8oPZZNxSXSTpQaCJbM+0DWviWDLlUHNM5fa7yVW4yVPyY2bs5HbU7KI8nryt
QTD+IjI0bhugvSzY21557vXCoNvaUeD6XwLJQ//EZHOkWB2gmhziZvI8ACYmptSA2PeI9SgM7zRQ
C3IGaj968RpPuUBvlINPCRfGAL3Lo+5v22Kp92m3MhWqFmnsTiyoaLdREwsi/pyYop5Gmb1pvQx2
T8AZAgwb4PwkIDgsY6qvyL0x3mUbBIQYkZSQPcRIAcWezX8hdwrrLIWKz17oBELVqDd+Yde5RHMJ
KdvjSI7vsVN74zVxS4b0qdiv4kPM6gY0BVcF02bBFOMcaI1mMxjSVu071rnFbSJBsCGtZXSCln3M
SNhIZHOr3GIpd5oQDLMdwVRiXwxILnjtFzuKD3anvZARLxPQDQwKdxVEGIznXmqQ0ooC+iILzaSp
4Fzgp7FSuM30xb4Ydr+++P/Zw4i9iQ8AFOONcH6aJrXsX9JBwJUJS88c3Yj2rHXb+hbwLnVxT0+x
XwarPAzwLDZ+1gfffv368K1+vvWM7dnCXSM2VzzWj7deJ60wRnfMyIrMoT1AYvsSoEp8oexcHktp
kqtfv578Jw964xDbs+4COTkcEj3/eK+7mH7IeLIJ94CFu+ls9FrNVOAbbkr/pa8n3B1qsXedg0Zj
rrE2Z3WlX8uRvdxhmslUzhHSHRbcbZfaSsL/Bqdx7AOd+CeHw5ob+tMHYgvl2wY7DPM9W4sf35/K
hZlotvCyWgE/0MzsT+hI9qMgdmUDpkJSMk2Y1WhwMK9OSm51Z+NGyq3uCEZL/MVp9efTgrNaONgk
yTT19Drz/OPnVVhtIdjWiC3CO+IlhmTETOetA+q/+GL+/BB2qA+IbbAN2DrH+ekhLKvUGTGGim1U
jsNdhO402fM401D+7dZ7txi9sFlKHJdlXRM1cgMflaPadiMkmbIfkRumzTw+12QLYDlxm5q8Y4tY
vdxikLPryxzX7K/f858vXod0WNC9SvPJUIT8+Nn4DsmwQ7C+5WGpXqUu22MwBfkh9oroMUZbcvz1
68n1y/9H6eARzuX4ylXIA5TwuWd+ultxnZZ9aKlVnpzZH1GiGGKgGxffA0NMvXPrEct9zoQVXkea
fhzHhvnEiA7p8Os38uNFQd1C5SK0BK8qSXv4Xsr98aKIFqeSlUzqre1b433m+2THDen84dev8qd0
2/VlgDyuk3bX96jRfvx85YjhLBnielvy4C+YUeJEyuvcfYj7bH7r7So4dG2zsDhfO/mwgMMwrXR1
QqTdND1AKUKWiV3uJewRkP6OOPyXd+qPT871M7CNoGy0lfKB6ZmfHiRs6BXeI8i3oGaCc+341n7K
ZHQEYfAU9mmy9zHr74IafxRKj/bx15/NP3t1OkpfOK7LEsD+qYiMG/xdNmAWdFkdOOUuK0ci3GKL
JXAUtrtlKi0yUhUQNAZQ/b6BUvAXcMkf79fff3+lFGI6zYPbAU/4w4PB90REkcc1MMB8WLZdRXjc
hoxghBQAnbHaZqzp5nbY//oX/+kBub6uI2AIKuPwlGQM+NOJocHeqaZCbwZHqoyZ7iNHzsKa0mgA
cHhNrebtrRa8ipO7CRPCCSTXIXZwre5KJ1uqA8vmaNr9+l39+CT4/qY8Ti8OUuMYW5mfntpcI0St
aZKDF6IeNx6Z4udesO+zM3u5BGTmf/r1661X/h8fBHwIkNCQb3+v4fXPNbyeFshfKaeYLLTZpWw5
96lkNGA1fvfIDJ8oGJCuKBqM+xef/59v/fWVNV3S2j2on9dPKCaKzGedtGW8T3Amcaf7wAP++Ovf
76dj+vsHuuLQecgZPldsaD9eXRj0yLKrm2GbVeRjhQgmrnWjU4ZRsvjQk5axnnWvfSu9g5231iaK
vfDJMPy/tiEPX7R5STZxYxcvzuD4f3Hv2eLHIuL7u5Ns+XgAEAJuhP/TNYh1E8GVcckdqsa7sIZf
FFtTi1hWZIQHY2jbkRBKnsnSraCyG6fP9yDgMAFaRz8il22Lyia9hC/tNGzINWRjtjAcb3rB+wyj
vHPfcnQOhNBGyNV20PHWbMVURs9kFBpCmlvKZ8CL2ZELf8F8Zj4loQivPI6MYJ8SvIqJR8Qex6iT
AVijcPvmRCZ6tq2JcU6Bs32BPlghVs6hcIKLmqr5De8mBMhu9NWZyVHOaC4HpsBcHeJBU7gMqnwf
S7Vdj+LWqqRPuEvkDoQII0AF2wMzBXOpkYO3E10Q3yprZAPUVlKdRYknAFOEqjD7G4WM308rOOwl
au9tP4La2DQ2SORtMc8DhAfPxTNBd4CBuMCE0l7MM9lTbBlktqN89olN9AWY+LEzT67szbipadyI
LWlTbOxOVzfvDKm9fKud3Fl2VWbFF6xQqKZDnJ3I6vvuw+To8jkjM+HdD3W94NzKAeI6bZO8M1My
wZlrk9B03c4A4WAAjq+UbXGD2qctPgibxfzBZY2DyCzToAVIIU/J0fVVwOqzlPNt0WfyHTHa9OrL
KLqhOR5Ib5Kd+Ti0RUoLELf2NTqDgra4BOvHsLssR4pRdpvb3OrR0QRdDk1OQRBP966HXGpThTzD
NmO18M44GWr/Jqt0/IyOx+C2kDNfKAQvFCUduqd6N6nIHIG6AgcoK/wEkyzmBeCNo89Fk+EUwqaM
sBWWW/qVvI/lo01YtQCy5QRnpnwS69IIhmKbViR7oVa2DN9f1iYffba6L8mAKXnLUkp8VtSlX2kj
ZkKG0Ch/c8GrPEdp1BXYuSc5nedsduDIwm740FhpDXUN3FuppLm3MjTbO3Z+yQUiwrDCOMlnvtpq
iAMo3GW6gaWAwMpi2Oid+b28t1W9ylQ191LusdLWF07qu+QBSbW6Y0rdE9ZWOeFwSTAZ7aHltiAD
WlJRQsA+0lsXN6kb7PBqgYKHKVDSeKbTdE5QYDibDIMRv0bvi/hCu2D0dzEebq7NoLZhnAQRbal0
y/rFzdOOoDIP3DeD1Bj16MQAW26Rd9Tf7GyKXvxSIydypnX/NsfY9/CMQVPdhLgwkSixt0r3KW5L
/2JuXBtYdZpa52FWLAvTKANg1nHOvwY4qaeNx9ajuuA3B5/Uz04oj2k0U3j1WjhMY6oJtmaHZorB
/qLp3VndU0Mf7apdN16OU4lt2rl2u+uxuxbHuOU62aRWG+pDpiDUAUsr1TMNOxHrfhzom5SLddo0
onPzk3IH0e2aDmHnfjX2KsLVff3B9Mj2WJak5qbkO/J39NECaSk3NxFk0BCuaqtM213ootiFqGP7
/MA8VM8h41gwjADKanqpxP044mocdm7XMyrK0KMS3AYWceNZfm+docp5X6qys1addynfWLdW99ZQ
s+7rrdlzj1ZsgdhTc1BcNvhEcuLSKgbibhOzm/FZ4G8AUZjPytL+t86YANR8sXwo86xfP9dpve20
aT/M86J43yjdV6syfnbCnUJOmNYju0o6K7Wl06AtCJhyNMw4NBMHjkGnQ48k1XUXArrbuwsfDcLv
jLVMNdQMESp4DHDu2NB7jU9WLBUpIlcFmeOxmjleoLzJdt7bc4KcSCmn4QJZhvwqjqUDcsvvomrD
7y0utaiXO+T02aMQYzGTw45SF89i4zDGATBXYrZDg7PtsdKyTnMqlp9dMUTbdnLlTVUmGj0BaQkn
uaxXftEm4VfAFmG2ndJJXMRcEWaXZ420ryVwl4zFBeFzW/IiLevgdy6FVpsR5BaSiHxvjap4B2mS
fOIn2N/IakI5m0x18dnPmxFl9pLGLHWDWIBv0qyvyPiysQqwHWKbRGI4T7wWKRgLzkhfToNAugts
qLj1VdUF27IGQbQVjXEfpqCeP8I0INCJtp6UtKycqou55WI5kTcyp3uYXWCswPdJf8dSMMtOk1xc
5jHIvHsW8ePyjSenvDEJOenk0/lEufbDqkdYEt3BB60ELsxx8iiomhrT9kaUSFRRNpYp8hO48KlC
G2z341UUuS0Za0BD2FyVLroCRI1sTpoJ+G5VVPmXYlk89B4ZGy9vO0+LlewG2djzMYZFr68lpskV
M1MmDlYw27P2WrHvIznbIXzBR5YdHErRD93WrmTEc0NG0IVs0lt2OdqH+7R0+gPSGPcj+knrYSnZ
9p6XLAdvNrWchJGKxEpr6fv+CIB5n42ldcVysYpPdkAO8bZtHkDls8IDN4Hws26vc1O073mWVZ9k
Pd41A70WNc0F4jN2X39R2P25cYFC7mshWaRKTYP6Y2GXldyecZPBElYpgAKidatwC6OuKslpatK3
2El6d6uSZLlNFElmgAbWwqAiIp4wUAuix3aei9na9NHYJ9vFi/ovTZXhP+hqyyYEwQjAta2YcVIy
qcn6v6j0/0n/QQO+vnWmvKtO7KcevJ5klWcTsCqQBC3hJxqWxZyjg+or2X0VXv1oxw4WzkimzZmh
knjDYTGR2zgxLR4EiNO/+kiF/lM3wBTCZjhAhJBaq9MfP9MuolUoUjZ0xvBUvhgEe7zTNJb6xfVd
Jq+mig1GH4VLzhM+bIaqSWt/S7JB8jEXGqfa6Mvh3hQlRdUYCual3MjuGqTF4BV2tIzeHWQ++c5k
Hds6E/mE5GFgHOb1JWfKXcuKvo4dcp89PG3A1IocZizluspe6wYp7wXZxfWa7uBZp17wfW0GabEa
HIY5eESbhmFtLOfwQ8Dl/kJ8DUHFXdjrb0xpxeeMhNF4k5q6z79jrDCHAtOZSDm2u2hrB2R2onLl
ijvhfkBU5Ia5+0T2Hp7GKNDNZ/wc9iMsWgQjeTHUSLrgnh1xHCrqu67DmGkzXLcudZmgxXLCHpG/
65L+mU1z+i1ukxo9U0wtsBmpJ5ydrW08gy0UKOgoHE3+0Cz/l73zWJIbybLov/QeZdAOLGaDUKkV
mYLcwJgsElo6HOrr5yCrZyYjIjvDuB9ra7O2ahY9oFy8d++5P1Chp9gmsLxVRM/7urY27S6i7Mve
rsABI4i7Q6TO9o29T4UcAcQiMp6KoORINc/KJ69mrRxBMikhlL2+KqWff48w0rMRdKocA5rTGztP
yOw3WL7QRvPe29uOTSNTEQRFUNOMXZNIS6TOCsV3d+sTrY66GALWFUsYdsoGSQk0/QwLY8Axtr5m
f+oYqJi0TAsGP678E1WS44MxDlPbBdvC7Xc4HO+/mm0E8kKXYY9136u2xpt/OLVYC4hrYrokle/z
+eX4ZEYtguopUkyahe5bq+ddKwf/lO4Mrce0bJbOpQ/l4BnCVrE1wKVEJ8Y6nsocmmiMQbXSFEel
WlVpGN7Dqluii/MNVwp2NZ3ZgddCu6SmXW7MDnNWlqb6jVt25oki3PGtRfJCJ5WCA/1R21pmhXeX
asChhrCiyVWLketmjsN6B/DOBqiicLK5cEM/v7XHBR/HosjB3C0Waaw4mGVqcvGGTLK9QAAQvXgk
BK9KQ41bjw3LIyoBArSoftx/PuhH95gEE0qAJiEmtnGwXNAWantEM3Dd/aS+yn3Y1anU+4s5gZg7
Ymg5J4IlROmBcgiXt/Hn17z4RiEQ05bymWL377EGl4TSA8obWWFLlVAUNv4w9Ge9jYVCxOjd9Ake
0ufXbH1w0bzD5lsxySMY5GCJyexeAIPs5crKZf83gbuOjaCpZY0ZEtjM207DrQXuBU3drnRH0KsE
80w/4g4sKnWZLoFfU5ttia11jrYN4De8YrlS176JiWplipZTiQ0Rr9tmtaF90y3JvtgEsDJPNWL2
OLXxxmTTJqt869p34H7iQsSPB+KirdyVI3vCZi2yOOsAh0YOadcso7VHy5q8pmYK3XVE51DucI5I
2nA6CdeEuEPGR7oXWic+ww8qUsJCCU330dP5Dg+qxGkBYpLjxLBSbRk+s+4TJJrnJajzzx/LBzU3
QbEVxj8NEZ2658G7wMjkDIUKNp6BE4fdLOcIAy01wMj70B6YetnGL1Hi7XDqGo+/dZedBOpxWgCe
eyT6niMfy+iIWtM1Y2PnO+NAdnTqrWp/4RGk/nBil/PBeDa6C5vStm3q9mHXR+9b0mDboiNqwp9v
WMYbLBzlGN52fPEJVskp0U7c3uPHSAPQ5w5btL5c11w+infTmVAw0UXd0YR3Me3FnYcUgfcZNNvn
j/H446JsA3vOYtEXBh/3/jiGqqRsbWZtMcnkjm8+BavMgS8yWu1FFVQ4HDbi59Ql+41VaOnd58N/
sEA5NnVb6tdsvjgX7g+vI/Yjehn1RT923lYpHMaGqsdVoevVy+dDffAQAeH6NFBYpajZHsydOhyn
nGmZKxXz9CVWkRmSbijA/ficeSASy6c/HxC80vLw6FKhztm/trzTdK2tFiIqprMt6q7iDOp78bUR
LlYqd0hPjGcuS85+GRzwgWvSJ6I9xPd38ElW5eRKV+edaQsOVausKS0OCQWGwYbApZ0hDX/eZYOa
vtaQRLBZNr79pIHYBu4iGpg2bpbG9TZ0enUjEb4C7Ekjm+A0Z1QPaac5iDNrELHBVPk1ScaRNE71
Mz54HR1/6X0zUwgK6gf3rFCxNCaLwlJEBfiiVWMGezuhDtA48J+EE0UX46BZeAlSC7IYrq8T38Px
ss6kZqN+cZaGAo2F/YcWUUpTJbDNlZAhAFuvsHYjsb+/uzBzKR9EIwhh5BifvykffOzMpKbuWGhp
UOgfzNm1D7VRtsSAjPhSg5nO1QVh5vP1n4+C0oomLd/60ks4uLRKdAbGv45caTHft+yQsGmL+vLz
UYwPjl/Ct4SgSWkxTZsHnzTflaCoApyH8sV3SsntJeYHiuCcNc6TusPZB07kjvovBfOuAdeUxOZN
T2bjNiMNMKIamLf6iad61Co2dEQdLl8/Jzp0TY65f+393PoNset4uCMtvCVQqj7zprR66ox6UitX
H9yNV4cFcfNpkn7jJVjSWOEgn7g3yzAHXyh9HNp1rM3oacTBgyYB0YpB9nE0VVgqgDna5qPMCrTC
pH0J+lVS+yYy+MFUXMbxl9f2PmT8JDZ+sndGel9lnhdtPv9RH7zxHi1lY2kgmtyig1sje+kVJPsh
AdHCH6UdTeeWJH4a4fi88RNOhlgY9BM34njzsGhNaBVRv6N1Zh9s1r1c8/IxivF/lnN6HoVRvjZs
kHjUhpuVYC3YzFh+r2KwkD//+GoxrLGsWmzd+QUHE0w0MienPmSogSTXu5ju6q1mYuWIMBycTU7b
vaL7r358Pqh5fI/JNBYGV+ot69zhp1clBZHxEnENyadkhWqOMrsb9jUARyTrK2iWrFMzHkufhk3I
3lBBG8U4fQW5qHvGD532tCzsuFxN+LCIEIlsAhlsT+VABbJySCln1sYNsjMch5ln/4o7h+nLMkKK
MpEzOtu5sQvit9jxurt4SEyYyZGcros5lCfW2eMlHYEDi7qOEIZP/bD8ohEwTyQAtUNN4XZubUia
bKxwDoVJdf75fT0a6u24iVbR9AWK10Up+36TlIUphM6KYPnC7L7OjTbu4HRjAYpj509fWFZxSklL
55q2iXf4kSReAdt8oMxFRT9ZD0YTnmP2K1e6ZkBWlEYI4aeWD5ZZyu3n13gs++Bl9YxFDeZYjs1v
2L/IMLUsJ8RBhWEq178Qd4LlYaIe3mKyO5un2b3LSxSA2kwrj0aKdSNTWd0b+HUD1UUC4lQjb2S1
TB+f/7KjVcvll1E75xtehMfuwXqi+4UFP92YV1A7wuvYU+6lE2XWxeejYBw9nDTZ4SOHXvTIgvq/
fbCtcTJlFk1lwjus0PxtE4Oc0VUniKTd4DrzXlDsVy/6iPt4JZ2RCJywTAdapVZFfhVWRLiJA23K
HOotpZkAmEv73R8z77WCFGhs4nIovWuT03q5GTJd/6JpTX9beLJrMFvraRSwQ2owJZpgECgbLnYh
Az5/fG4PjQnXuIo6YM/ImOk4UXmKN6R2N+3W6JV3TYRISC6doMod6FlMQXGyE52wR0xxFrFrkmIh
NLNv0jCQfZpFi5rJFoVqA3qK8y/VKAiyVZwTBNPGBCxcRM0S8jS0SvYLIVuX50PmkhDhEgI5nde+
FtKyY67XsIxYSp4p2qLiofAmMoLmiBfit9UMzqPfjP3fjlfN5VlcFCnEBGHV6AzbdorBf421teXg
SsOsRZOMKb7vSXQCrfqdTpL0g16LCraWaqQuD9iggTYLEA3oYhEidhZa9MsRESkvUsfcRGu2sX8m
jW1WeNAa9S2rQvs3DWfzch5N1KJam9X+xiUvpgSrmJfXNICM9GJOM8wcLtorFDxW1H2h8QetSueU
R0l8eiN9om9Rge5OuYVMVHI6EonrautxsGAnSbtuv5QOeCLAtNC01k7fIWMdunJ+KutSf6w62wN4
ikUGoAMvgxfQ1YFahcq0CddKDvVtZI/DT9ARo76B7jh97+Zw4dI1dfGoqYZ4nzjrPDLo3MwCcsuR
rgBkb+ohIrgB6NyAwpeMgtnIoISaUXmmI0BqzygeQJfNmhrgsJ3qmFqFxoabvIB48ZdkExZDtCvm
b2BArVyFHOUVRySmOKixmgckSTdaYKPYfAJ/MKtrRHkgMmEQ0fAsimyIcP+US7uAIPX6vOlq8hsQ
sA0TOiGlbBy2pQ5vLYyEtSMoaXyt6fZaV8CR/a1OZpy9UVPbpMRnuKRvpIndvrTMcneVG3sV6U2N
ukZwVD6nMbRRRXe+2sgcv+hawduAFWK2/oNPJsfX1B+JpCPCMHzVaSe+yrkfoHigM34p2Ku5JEIa
M8J5xKXodRJIEGSRNc6CeyeSIoDIr61bg7IvSlPNfMRaXsNRmZufHADUeZFZFg60ArbROobm8ZOK
KiRX2QOYL+2ZrPjOsbkxvQQ3AHFEeM02phvMI560KgcaRy818D3k0LC5+SSDuGj8v53KbV7ymXI3
MVKWjZLFNOpLAxzQr2noI+YCN+75oKUbZ4DoQAAFfVICkqH2C+3WQhEFudRzen0Lg9rB18vm84bt
f0iulVYhzKM2HJkn1qjj+XhpdpgIVF3EOARU7C8USQd/Ihko9mJA6xdDKYYJrZ5PrUdHezfKLlhQ
fCoviDzRnO0P04XIqOha0iRWOJ7piCv3O05KAqFCzbvgXZJ3Zu7hEbTraZfHVfMNrQHvDHlF4GMW
UdhsNmfjhGAG73y6o5P8Dcya9ljxGNoTa9RHq6cgUhg7i0dH6OgQLqm79XR39RXAKFFuI7MUj6Xr
0bBIabNd0vhLYby74/jAxBM+NLSXz0GTJvdDGWXqctE9ubQojPaZNgixlp8vbh9sYDjkYtHn1xk+
6/z+vWQPmpeYQsghK1LrtVu89ZVdym9VFZ/Ygh6fgHhsbHjRLROnszQd94dCRVFhEJfgvGj3EjuK
aJ9dp5f+oiri3qrRb3aVmrwV3aLoGvt7ddnT4T1xODxeykFCULN728oYtD33fwSORotFk3ZnUZja
bphgdXvN+M1yOvump2N44mjz4XC0P2hGGLyxh9c89lQhPUEttI976ybSi+J1tOcM6stibfKT8MS3
cVS94B7Ta8GUw3YN389BTyBjldFgZ+Jl0rDUe1lRt4FWlNM1icbRJvRDcUb+gvcg6URtWtjk2Yn3
6eicsfwA6lsoUU2f+3uwVySAchrmETOVXolqnahCkDExix9Omv7q02J4gRTvPP/pO8yYbMuo19gm
6pqDi9a1PC5MWY2rMMlSOmhJfT4iC0GKGokTM9yS/71/fuZMZEAFRG3JAc4Uy/f0rioa+pMW2zRd
VzS1kmSVIF4ZA9XaMJUHXygAY738Rt0hj3Z26lClJe8puZrDkKWdL9t+AMmgnhMtNb90BL50AY6T
WQFGqo1HVzPCBrCgc7OEvNzrdNqBYDoF/iWraikIaHOtv0JPs/F0ojHc5ZTaHsvaj3+QABChzuKc
fDn0pX89J70Xb027h34xdWlxRybS1AcuRlSxro1m3o2OnyfrNCfvYtO0afljEjAnNoVm1a8O2SYg
KcfB5sBmo5DpNLhIQQL721wN0N+dnbCi/je1ZwLBTAl/Z9UNfhtdgy0am/u+iL1iRZVK+DS++oQV
FTPhqbLBR4+Ct8zlWGvyMA6PJbQeOtexGk5EYw672zWvxoKr0/oBKRYKj/LEq/3BeBx/KGxy0KMJ
9dYlevfoyZlPSB6t2MD4RocVzQ41hFkC8BUhhfmaF1s/NWUez87YgGglelygj0PmYLbCt+VoBt8T
qtt5vhlZ0IKotqoblDLyR9XF2TbGlr8WrjFtKYm1qIwRm4vMfal9fTpDt+Zt+pTAzZQkifbE3Pbh
j2OhB73DadvzDgoZWjOQqWZzKmqMMXm2Ypr+adcLKliuO584Z38wraC65dtG5kFv9dB50KliiDVL
MJYPWDBpmuaqVrN+icqU0EbQvbsQffWJCzQ/euKctC16fuwzhHcwsagqjRPN4Qr72McS1UyuG16W
mRvb29o2obgrCZxiK4bcfCbxHPskiHg9MOBhgLoCB0NATYkRAxAcBa2gjch7qL3QymkEps0zEq3u
C7lAsIJa4j/G7Vw03i1/py021OXUpic1mKyvOq1+Iw2mR6i0vvNOTGnHAhoO9qZpeNi+bNfiUe5P
aT0f7kikG+nkrmqfEipSWwq4JBovIBNgLMTs0mzXiEpDuRbnGOSRKXY21hpXXrWN3559Pp1/sIvk
93iAmThz6/qhBa016tBHPI1us6yzhF0s/ZmA1lF04lyPIflwLl8cXex96PrgdT6UzhPGDYxUDsNK
j6bkTBl6ReoRQtn7SZTY8t0SESfdrzT+AU2CHAnDHQdYKKoAmDQiYCCr3orPgXHC3bArt3jQ2VuI
i8Zm+82hXBrwfsU03lM5Gp+TXNPJWkoGsD429JkEwVUM4C6kyXiZRdlsE3LjVn9z8jV+ZeYoOIzr
TvmAhTe9EpMf32U5UuLA1Qhb2HrEKBpsIMPm2ZhrdFuZQMe2Qkbk/oYElc/bCaYMn4aZOqcag2/1
870aMqo+WpGs8XSybJzi+y9M1AngFUlNZkfsEwDkavhiAT9ZA5KYuUd5KIxninPmA3Q1H9Ef2Ifi
Aj1x8ZWAdfch6+0yumfrIe0t7PpKXWnhWPwoJ5zQ65ogH6TE/Hq1ERLwwRchUmLvWVGT9h/v4f+D
Af61aEH+MxhgA0Kn3MetLf/C/+LW6N+h7tBZPGn8Loqdf+PWjL+EoAgGOA3ph8ka+H9YAP8vyun4
L/hqMcQZwvw/LID4i/MgXxKVdhxjS/Hsfzhzd/+8VCDq/qPJ6+g0RZOKhYDx2WMua8HBlMwBHnd0
kqJ/QFR7KWb5Ukeu3GnG7Fx18+RfJEZRXjKz+DvPgJBFEw/DtBC4RoN4FrBNIZBelCXBTO9u4b9/
6XuKwOFawQ/zCBXmh5FezFp98MME0fXpkNv6uhnr5rJkxYrYGcHJWU71K4d2w4ntyOE0ieqHydGg
bbf4NJmA9r9CWx/aRI5kz4hFA6G3XnvRWlr39PllLYey9986Sy5lZ9xNDoqbZX99MAo02cirW2+d
WEq/GsOZhi61BBKPNMt8xOEXYa5rzLt6Akz8+dBHfTzrTUPCmRkIxHKlB1cYelbTg2KNNtbsZt8R
v+ZEfNdzQPO059ifW+UOAdCw9d0UJoD02E3PsTJ3Bfbmm1xI97ZDE/PtxK9aRt2/I4tWAF4Ddj/W
wcPZT9TsvK0wgks1WtqWA784a4xKEkWhLRJwf44f0hE4VKPkZT0BoY2RUJ6xDdafsxI9t7N4LBTZ
3OvWEsXJcsPyQI5+Huf4NxesYb6t9u93qbPw5ohq3RoSuLclgJ7IpdRuf4yVGs/ElBnPtGGAyLkJ
dELDALLgE/K3LOYVbVIgvp/frsPPgmeIyJs5g28Vo9rbM373c9yZ4ncs2xiou8eHmMbkFtUthAtR
69oL5qnp9vMBP3prHE4EUFbZKaJ1PHhrTEEkbkLs6cYHEr+dR8VKmlXgYKksU3sooexE5QAMg0cA
GVR2N0Alsg3el/pCg/v3qA/jfOJbPdy+chfo3tBzpbfONnahUb4/NY5SOo2ZE/3F+ifu2y5cEsXw
V9hROBJzirJMtIV/4tYfThBoAheZHJp6hEPLoXx/UFPVlqLllW4qERLDYcEGn528OnG/PxjFXuY9
Kvoe2tq3A/O7B1y6WusnGa7DMUOvELhYUla5soqHzx/r0R006NOyKaSJyVacxvX+xZQJ0wTCTRC3
lNqv8WfZ56WLhi7IyJXYzTQpdpxx3LvPR30zze59TQz7BgqlumAhUVpe73dX19ml7zR6Yq+rYtbC
M06+2m/bGONyW00gMIuBKBYyI3MHMYrWToCoygp6bzsPJh4kD/UNEQk29GTDb7svmdbE8a6yBrEi
cRkzrHQgjWC1m+qHVpDpGAicRQ9p6kRXi+nzNh1S475xLOls6o5iNeCnUF5hLTfAxilnyoO60JfO
V1iNO4XnZSf11KxuuI3Okv8ej5uutOpto5k9Th8yEN9ixZBtQ5bonqBwuje6Vgzlto/N6oL3hGbT
KHyAg5kdE0qbJRlGZlOJ/Iv0khzMsNFE5rocVN2jfsGZcD/2JQkLLsXVnWVg3qKn1OffO8chJBt4
Rv4E3CMJkSBpWr820ngJcdU7PHWWNohXDdJwu6awQDK2as5lTbQJRNXmKbdTcF1FW8r158/0ozeJ
6ciCFMBuhclp/5HilpvNELXUmoYFuXAohneIE9yNi5p9bc15f0P2Tbn5fNCjRWN5j1BiLQCJRZZy
sGUeaJ8qK6qdNRZKl/yzggzYEmA8gYunFNcfXB97gkWAbPCff5qZ715ZKPEZWyefofgqaBkQoxHG
cbaqrdq+YH82UZLRTvmDPxoUVI8LKgMhHj74g5saRX04zpm7Niq/u6Z7dIvdE28oZMe1LtifuF2r
//k9pfZA8YEmMGr2hRj8/tvEZxhr0WRzoUlib30e+KpOvHJrAXQ9+/zxHa1iBrP3Ip9wl5MiG6H9
oWRqFxVCRQcWC9RAVq32XCd7BYmEP18bRTGeGG/ZZO+v4pS00LEvekSUYBhJ9gfMhdNUilTmdeF2
bHAKz//tzUP+msRz8lWh13mxvVINO70C8wMts5kfdGzf5ODA+BMrHHPVzqU5UsHNbPU7MJ/4vajr
T+ey1LxT6rEP3m40TRSdHVxPrL3LGvHulQulXw/aEhRZ0mW+UiopVg0hniu3Jjjg8yfx0VDsRz3f
MOCS6Ycayh49jt+UEVAj2ovB4GnJeapp9HWYlU88hI+eAbUBvljkoYufZ/+qptiURE+ROyZnJ7xS
6FSCmRIV2B2ZQPHo8vQSO1J/YtQPLhDWzIKygKqwVLX3RwX0mcCOn8VaiawkuYJab2tKrCrRaO4+
v5fHbzUnCAuZpg1cniLXQQEvHmeRA4RwSQ1Ay5OiOdw0MxhUO8UlYWRd/ofyP6YjxCPUilxEgPzv
g5c6jK0MxxyYepqbzlZqU3fls8KeeEM+uiqYYdRol9ndfeN1v3sZm6TTat+WzjpxgfqTGa52OBfV
jeX6FfrSxjsxHn8lj2R/k8DcghAIWwQFJXa7+48sz3yfc1iJ+MIlpnKdJmOJKcOwe3+LY5e6fVlZ
cGzlFNcXcmxmvI5Ys4ABozTtAw9I6oPAM9VuJA1PCskuEt0q6YGA43wOSZeDvLACKc02QkcudZZF
af/Err0pAyLV859JWE078iOH3xJL/i0ai9zcNgi4hyC3cOVtcSSpJpAe4tUN6O7kZpyL9jsGZbYt
mrAh59VkiASlI/NvTTqObmDr0RJRqLfqV1xVuOz7GuZDMFjm8BpWbL9An6Lm5EidNpcc0vSfNsWy
ccWjLx6lUs1jxtP+ncUyvAlNgubYjMxk6wFI05eCrVYC8GoEPFxPGnYaOPpYvTqV3YUXvsghk6ZJ
ON2Rub0EULlQMLcyS2iGT0Xc3thaCxw1JakDknOG1TIgLFFcWiqrMrQU0fjL7BqxJMu4xQ8XwWex
GVVtfuWw0D/n2TRFqywfjOhK5cTmUGyaxtewb4GkSPC0hD26c0aGwYDwLSYBq952s8U5jnCfAslE
Qtb8ihjvOduBZXPYOo1WB/eIQJsyQPxT/CQtQXuoM5+kuKoJ+SGDk3ELVTsR/kfoJv+ELaHzs2jD
+Ldr9gPXlSWR2hKMHT0QIIUu1myQfrSU1p7YunUkQ4cJJjjCKEoPtUGDtx2DHIEwQ6ZZEWFQZjqu
IttAwpDOstOCvhtxlNJc1sUVOoJQnSvX6x5z4LwUcRX+78AiHu2iM0uITtnsoZawysbfNaM7XOpQ
RTCXGDZY5tr3yd70Ewl9nqj38JInOBordp/wuqZ5iVydIg3COs+WPyhqbNirNLTUjfKqDqGp1oqv
qV5q9TpZ1KPXg1dU56S3x3+blelnOxJuQ/JjBhd/S9qU54lVllBsLD26793Z/MpAOo5o2VZPw1jO
D7zXCSkacd3/amiLqV1G8GWJdIlFDv5x2NziMxf55vPJcpkMjz5yH2G7R/XAsw8nywRbXg4dyVw3
FMh3DaXaNUuwea1cbdiw7SB0Rx+GtQiHltKEfaL/cXyqZTNHBwKLK74rjrYHnSDkH01jkoi1rkst
Br1UzA3ER3NeexOmp6LDmA5/KWKDQoR3jZT71rcrcWvywNeeg08aX9F04lR7vFTxOdNmXnYpSxfo
YKnqNKh4lKfddeNxurBtgko1D/ok0VanbGdHdT/WDrZdy8WDJKVfcTCWn0GRsEVHqDO0EqKK+mmN
erq8IlLBvpzoa/6IHVGu8aYhKmpJ+eEAUq0mj+TBxkWIKtTERIXsevv5a3G8SQDEhvqT4y/VfUri
+3N/krsDSjHajnpLRp+uBhzfFhKcbeUBnEGyXz5pXT+ceBmPejZsC1lvGJQ5y6RF5e0PO6e1Tlom
RtMi7KObOmHCpwxYn5eKziTwaLWdkWjSLMjEnUg6cY57XhaLsFd+R5FTvHx+F6w3C9ze50HBmAaZ
cLBiUwM+PJ8b7TiSBWhF7CB6dWHH+exsM5djIc51rO5ELkyJuYPGr26IyeA4Yta8PgGSResi4h3+
u5+oma6AC4vzMTMIMizeQtCtGUUqDWr2l6vQydr6nCMzc11J3/0iqj1fIc5q8npVR5bzlCldh42R
IfAqjQaBVCGN9sxM44juNXFSFdnFBssoSEGJsWly3OfYiUoX1+BkSDoVpkX8e6eSm9w04yWpkYZq
UHgZ4amUzdyfdYndnETVZhjPLRfdCo6Qdnj0yPqw6Ah3KA5re4jODZ7Di1VbcAOJfiCxqm1QQPKH
E1n8bKIKj14xKR210jTmrGuJ5hmIJsRo5JW9tRJh3jrIeR/deSDW3IBpequYd60V/h2DVMx00ud1
MrrtVykoJWyUORbGGaQgjWa9o18XVeuWdz1zCq7MUVgk5cR6/tSoiKTpEWHVrhtLCl7kBJI41IDo
t4Iq6ZpoNRIr4Kws1XR3Y9U5f6eVRwg062Je/ALlrHdfCbLWrcfZjx3zrCEQFOn61Kb6Bgi6UBcs
3PJ8pjF1A4DJ7a8QFwGlySz6PespHyv7HAdU0+6mmGTurYAUYdybmacAtdoL5qUlOQsNhNfSICML
rV5VuYxvCfr28XwTivBVj0bHo35Bw4GnGYHqnFSLc71K0DWsET4Si9VauvwZh+GACnmKfgpeIvSV
WeK8suldoPKY5M2gssluxIPDQlnGOrKNWAN1kKdtmAI9TFBYe9OQdIErh55aXZFRKfBJRQ6STJJO
AB63+yqlu0z945TvuqnyJK68QnytmkEgrG/zcVuDESIMXsB/QK4XZtmm00YMwXPJawpxI6uR/GEw
vU2nxCO92EkLuK9hF6MHNDv5xK5B6gBiffDsVZsU03rm6zO2bZ4Uj51VacUGqLzD9k7r61+oF6v4
DJ2AQuFUGibmSDeDKATZJm93DVklVylOlCVgN/LMKx/y1BAIoj3OytGOFWm2kzkxlUsXnFUHkBuU
a6/WvIQjrH8c9o+xUfICUiHXXjGQEYBbkrwA72aWDuxZaOkvqP2HM62AG7xJQn+E+mjk1suMN+yb
6hSkiE6Frk2ENs2E9SRbtoUdkaT6cmrVGmgS+tTwSpXj90GjkLi2xnx8mTU0e6vI503D/2RXu6Yd
l51N5L1olUauipKZX651316kkLXUH5XsIglT2WouxtlO0QNL7T7Cq7xwWpL+1XBjAq0Gkv++ZY2v
fYXjAmCYXaVG9p2FYzShTPOFT53wicHt829Z6rkvvemrr46RZr+H3u2v26gmuF6TNe5WsJjzIx7+
6DXvUCAHhMSqYpUigxxXRJYREsJ3BnlsAnRK7m1jeOyfQRPBbPAcDIDoxBHdhuEknGBA0+IHS6Np
Y9oRCQRmmBsJn2Vu3BIhEoImQvVQ7Eq2/d+R22QA1LNmuvD6oeazcKLUPF9U5OVGdaTIBaaXeD/l
6BD/OixspUsMzXa/nTlZ3oVjgyyrKF0CVt3Se4St5FzIpjFA9ecEObKez9G10eMDgGEkjGmFfs7L
kXdLEx90VoiGvsxkOWcsLATLDBUkmvOIGOuEJAtB6k/WF8lNUbYAJ9qOE+DK8nLP2LQuSXfr0kDr
VNdV9QSWS4ef6dvA0Eyzl39bmsZ85kWpdtszS0aU9EuSODtuLLy7NgUpoo2Z/jR0mg85gq+yJZyL
1LNVYtrxE1gkC8393JLbCKFm2lUJAPo15FbaV5FXZdmtsLvSXeO/HKfd7Pto06cGm91QKe2ZJ01U
agX+q+YWDGyzHRIpiDzujQS4IU7WF8UZIaibKCVi00spDeRF6saw5ZT72Icla1akqvzvxJj1knon
qYUd2P/7RqfRsDZUWV41UzJbxBnNthNIZY/hqrMhqq11u9PazWCV6DBarxpfI9fE422yb36B8zy/
trEW9mdxBZo46EidwmJuSnU12k1Fj4nQJp2UG2BMqOD69SBa8D5et+zOgOUZL0Xb1e1ZXFpLNIRZ
9ICcwmRAgoBCkwpwQfPgn27e/zfb/2UsOuf/3G2/Y1tx0G1/+zf+3W63/2LnTKOGSQutl7Xs5P5p
txv8P/RtEJMtNvN/LGr/Q+G3//L4kwZRiFSmUCRyWJGV6uL/+pft/0XznmIOjng0WfyhP2q3LzWu
99s6gwIYXTuW/6XWdgRV1fENtHqEeBnp4TzTiE31bpsaURkGJYc+AYCAVQ4ujevfzU3sbqwss8ad
qUxaxu/uGjdpiqryfYP98LTBT1m0nYsDCQspMvv9LW9vN4BzKWitVN5OhKKIcKPa9mGCGvOH55rD
kZY9/7sKkiQctC4jfDB4mOWuwXwfpGZMW7cV/T9fxX/UMxyeKpehkJMu9iqOlCQA7A+VM5tmsjB0
VjYXMmCPOno07JoMtyHflDFL79hLtUa+7V9qnh9++/N7+n74g3u6xB6kICoBJos4ubWsBtxYpPoH
YUGa+3yo5a86eJOWQwtyQRrnHJQPin/4tNBJVbxJvpZ5V+yHKmPl0hSimcQnQF6LjNtTWOTDw9ly
d2kYLuJEmvW0JvbvrgNuC5gZl0dMbhsHWsNR3YSMBD2EKHgt0wmphLx5ooL7Riw4vNSlF4qVGrcY
quT9YaeIwkqmAIMXZl89e4ZSVzhN53Qj+8EFJmaNOK/o95mEKHlEEdl+mOvndA+9/vs064V75kSY
qGETAs1eV2U522zMSm9xQbFEXkOLAtanTXHV34k0J9bm80f10ZeGRRV7KqVh422yev/+51lZ9Z7H
mUHYGbvBiu7uGasdAV6WpaoTr+BRZYPODeV8f5EH8GLwGezfLbfCsRJSoV0SmfQHSNbp+STN2V/N
U2jvNEtNIuhQxwJf9PRUrl0hq5saeCQqxVr7asqsuSZRLTa2n9+FoxeW37WIluj/crqnOrz/uxLf
kSTYRvHatKZvfZKqraASihMjSjZinvVTrWb+ur2XBo0UoipmgyXMElfH/nBZ1LSuGt1k7TvFst2b
jHUfZ8kZzcTfnuNbJ2r/y109HG5RZiyNQhyyh/UUGz6MmegO8kpARfJHU4Wt91REZbWx41ibvotB
M7IfTT9Wm9np3BMPnWEOx+ertFFp0MvHI0hLYP9yp9n2iUbz2Jhp89wHxHigmSxEktxz3ozZzKm4
hghq57Qqh8gUV3TEzD7oagf+XwKWVwRkwIfDqh4l3Ewj7uorQ8MUwV6no5GuHNATZz3TA8fbtrMh
8HGG+TrFrQHb1uurx34EaPtIqAWCED9SRbJKHUxx0DPtvj8Lw7r5TeKcmwTcxfKujIuMlDej7IHS
igS4/WR5Wk25E9XLmdaTqwlvp8Hip6ukTO7aStjDWd14yKLY+BpwL8ts/l6yD823RQqE4bolco7C
FDyAL63T26+qcBb2hVWSXSuzENslRsmBNLKaI6c/a95PAxQcxrEGMgrV/MZ7MEavX4oqHP86QyKF
5r8EY7la3Cm20GSarUdlZC+UDvw7zlK4v/zWrh8dSm3imlNtde9kjVPspkpVLOb5LIA21xEHFkpK
t6KVzTdukxMFxJqpvxHFi4k6Y5S0dJdxYwZSRM6vwabgFwycEDLyeXP507Un8ZwUyn2hcEgGVlWn
7kXtdPNPaabzhD20sl6crJxvwKFEvyBnDfc99OW3uMHse2Z5lQfhmDzoQEZTd8+BxYzXsNScp0nS
eAj6yp2+pG1ZqVU9V/qXWYMlu0EF0X8BZOw9zET3lMF/s3cey5Vja3Z+F83RAbdhpsDB8YaeTE4Q
JDMT3m5gwzy9vlMtheK2WlL0XFGTW3WzyOIhsM2/1vpWSUUXjXa5N9iBNMt134JtY1BM3wv1brq3
+oRz5eAFde9yMNZ8N6EHTlGr44DWyXdroWV/6fPEsZDbWnG2447M6YTeozbrorvqJhJpHrs8m9qg
4vV74njE4NkxM9MdAwo87PVtjhNd7Rxttp1jWje2fcw8Zd61xIqKrR0mhfy1pgQSS0gCPDMgOUym
rWnc/lUCS7DoWvXtdm/DXhcHe6ycZusqYn+B7aU9E8YsF6OFwsTQNQ1yW2bmlREEGpONNSUO7J6a
nYhqvPkx0WlMCSWnig6bGjOc0IgtZ95Uc1P+WKw1VIv0YDCDnlbpEVlEDZ8Upo/d9n4NI7+mXLHs
F9RQXhWbsQ52f3d4tTi1cIW1Fjpq10ENTbBma+FGnGrlFynWBIaALexgaosaVWXFJRkq39SuSUU/
DxkFShICroLOdCnWlmrpGo/ntLPVuMIyq9qB+TLTI245lFHomJ7ZSuqTmITIX+nH48Y4aIpAKWhi
5IulmL3lErvLpF3MflyW9xmrnIrqthPdFlgXUItYpvl8SKaUv7CGIo6Fi8mF+9vkJbNDfyrllRBc
Nb5JRsfqZg5mkd70fhIzhbFjcwJRkUpQqsmoP7adZr0LANtesDpL0+80PdHCucrqOg2bu0oWDnmf
pyGj7X648gj473q7tM6BAChF8bHW9nlo0tGzHmSa9kU4+mv2RCPbXG4sN7UJ3ON2Cswps1Kgy75+
oQFYS4K00BEAB6qq8ntDnEZre1KKJVIGpZCCRbMRxju1KOmD2ybTtyHGVX3EVZsh2xV1HHefjeP0
gI+aaSxq/ZKaqjNlYBq9qE6xFXfuvnEyB8gr0WunboK278zWIOVM7eWtKjSgxxtfl2UCZTHJcKIc
Ynw8apMlmfNSjmKkMx6JmWNPLQiuWKljThcT80K1m2xIvIS1BTD1OIe3HE7GPLx0tuOl+yqnpyko
dY9o98gXQ1tz5+J9ETrlwsaCtYHublLlW2WNya6J56K62BIi7F4ug2yeUaZAPlKC4DAPdtQL7HL/
rBl9SkbZWelqKozYDRgJJhDf4eXBnk43TgLMftZR1NJVta8STerZpsC2CYiyCgZgBjHvkinJV5yi
RhIEMIIF5u+TZIT6mo5Lc4aUMmwc4q9vsQbSxUvuHlHXiZDv6cnS5guh5fma5+VXYwNCDbrY6aMa
dvhGDv0aDLLMIpn6amubEySWGJ9VOtyFtYT6sReZKaUHgpTCCVJL1BVeEeltF6xT/ivJucYDaIZb
P6aD2DfVmG3x5fkfxehrwUqkoVeDyPaY9s+gUeNLhiQYIbRtBdTdYJp150RVATf/ZlVbFqDi6IyE
E4A7PDOP2ni1O8uwpj0xDUDzRrlfFURUVKRcuVt8N6sComY8Gx4twDYRuC31Dul20Nt97Hbv3Zo2
LEXt7H0Bv/Y4SN0bKJn3H/BGl7/82ZwZudgKOy8LFwRMb+cnJauKa6wLDa3zT+0370URl/u+SaOF
zglG820RFl5Mn7FLN9Aln8laZ2BkTtSQWvomN+JPe7INKirB2gcjStA3Z9hDbeHjK2rzx5uwfYbo
V59dsWohjbfs5jInJU/5LKCbfCLJFDfv8Tw577Fc2xdqf1yc3Kv3qNGvGlWqgTfrjn9BVjmR5qcn
Kbuf2cXyREXyY1OLg580+Q6L27truA+Tn890jbFLF/fPirHsECWFbW5WqO80F+t9T9UAjKKYwSQN
GelRZsaLWVpwHRtEPr/uuu2US3ePVUMclwKeRp2hCWQa3aIjZwMwyeRcPuIMhvIm7pNlZ9SmRWt0
fVe1lzXf9OZUEENXZgkUvPu06y59rk01MhzSB0iqPTlFoBZJ+wCv1NkOnYoPXF1eLEbO1ymDTgMI
CyS0Yxz7zN9XLXxuTzbf6WRecz8G37Ay380NefCGZj1CN7tlkD6hDUmi/ZCFY9fXKF+7LysT5dT5
hvvOuVV1+peTovfNwVoDq7xCL3B8QqQAF0756kiHr2Auoa6gJUBzS8D2aBUUsIn9mO30nC4qDpbS
jiO7Tw8tQb1nMVm3MXf/6CP/zsC8fy9kHqpG/zvVzpZD2nBrNR3uW+3tlGnJEEHqJ/bynt5Wrwt6
y76lU6I+ZiG1g72mjwUDjgJoOsYImoM1MBBa87jqJqXsNFZtnLXcWtLtt/cQ4ojSyNPURaMzC9qJ
qTNgWorMM0ScBuNDJiZzg2VSRVm9PDZ2n2ypR/hMpPKerdo4Fh4Me00fd1WK88CPvQvVpsHgtl84
B7i1avJZU/lhoPJVJunHYMUvy0g0UXXArhrQ3cRMv0DTTAGjJ1wSXXytSi1yMioUa9mlp9bgPhzf
x4GD8SMR7YJuarzQ7Qx9l+L9DCGZexuSZzqzCJuubGnyh1Vix7skz0EeLE3mfDQLxaloZ391ys83
ab1s5FitYdZ/t5UlwAWaNYr0P2UHJS/n8mnr6Rilzhitmj+cLW9hvV0aSA6seQGLvQemPEFPQw9w
omFhnlv3Fp0XOu3EDJY7R3Fc6bWax52ZLRAD/B+bgbMjqkPChDbFsfBtjt3aBvOwsOx1MVRGr+iz
fTVq6yPFfcnzgkHnHfEU0hmCHPN3BS3MD0wr9ZjrTqb+xx1SgyI4Z6TryOCZ68IyQ0tFrqwgN7CV
8tFTPw0jomqd+gARHHKx0MQ6fvidu2Y71NnOP7SrO1xziMr21ojt5qHQe0jAXexb+0qX6dFkB6ZG
L3aw1vS9OR/0ovT32uyij5IKznlyqKZwcYuk1ndi4IMJhV5KfIeW1f/lYywBdgwYj2S6+L/7xTMY
FsejPQV4a8AUg2me0q2cBvfTH2ebVr96EepATZ5xlYz1+BjpiMacUalkU6Yuia0lKxsm1UZ+1QdK
MDe9a3lfxlQbbASMHU0eaiGzEDAs4A9+yjzGzm9iqoJ0NUxoUzEnX1OsDfYm20RTVYD63ph1PFNl
n3ihz7wuC/Spo6jXrFPCnBRs8r8VbinqNJSW/qW4yCzQc2wSza3U2mGXNB2uIWfE7GdQqfyZWNYS
0Ylhvg2+gOObj5p8J36Nk3heaj4lF9hqDD+5cNew9RLnnJXWoDMhVxQLT2kNActl63K5243Vm+Mu
2VsGozoLDegML4CD2ca8ofCyAM6EKjfkt/tP2cqcz2qhqTEDdNuFpDvqh3SBYRglI37XEPgQzTuu
O5SfhNY8J1BorHuQd8t4GEy7+xObbvaJ3Rq2t6NPn15jd4dybBeLZ7vurMiFUf8+oP5llC4Q0i6k
ARgTCDbJ13ZiOhqYuQ/EK1tH41ulmf9uxz7rUYngw7pbaJBBLKorXmWrORzkeTAVHrByerLdrvmN
DoNHyU069CNy2st5bLgUhPbaK64roy1ofMRGpra6NYqGa/Jif+qUKr9YTgXQvTHB94cZWfU4KPCr
MZcctYmVC/Wz5V2sp9/OWAMLXWuJeI4bzniyS3d4TGJRZUfJd3kqJ04HQTXFmtqRqSzYLycQuEMq
R9RQy1u/40o0j4uWkKvuEFze4sbsflSpr7cCGzA0UE20goch6V7uHY/cfOngmTYdPRL5RtDHbW7o
OV9zzjLYQkKASIm18WNhf1JZ7S384Gb2o0mib2y5McxvfiDZMggcsr91NluPo0UzQ2APrpQbzgjr
h7c2NCxPngsBVQ4YFXYSNu8rcqjhBtTe17+1caSNXCZ996SA0DSBvtbUingstdSrl7X+u4tbYr50
0+H9l2biIB9TL7NGyO0cSdd1WqgyEctyziyl0bYtZu1XSe0ozQQr+cqwL+N4RXSaZbEFwDM3QVWU
MM0GLAdMB2NKXCKsfnMfDqVHg4gy2S/SiUJEKIileLKqNfcCOjrM13Jxbb4sVfBc1YY2paNat6ph
nzp63RHhxGOhRrUk22VIqBDLcRwcKrEkxrZIcyrOKXLIh12BErpcRIkqEQDOyt+0hgKYwM3t9NHl
3GoEmpj6JhLrJClH7zwKwRqrqvHb9T1XI5BL6x9CKWO685u45pCvlPbkpTqgBF26JYUcce8WW9H2
E2SE3mlC1+fH5IRdd4/GmiW4Jiam53uaz9xqpydWSbKGTvkQ/oQeR32RKtq2gdVxJyqGIQ/cSbKe
IzeD8hwQPyu8guHUOt475rpGhW7DFrVNgEyNW1BDxdf/faD4n4xVuaRzUroX27rYhv515FXrFWG2
Cllh4X0OPJYU0AyOvtPq+r+MC3bvgG7TwY5M1vh/c+MoJy/W8f6tAEut266yCqruR2tjEJfbd3X5
/0Ix/Cc/2v2HAvpsoUg5/5GK4Y5QbkTLcN904S2D1J1PPAK8lBpEvP/ipwjvnDkTfjAfTz4M+3/9
FC3CM32alnyrBAiXq7PB1YKjorUa4t8DVP9fsvxv91/Q/1mxDP/8pP8hHsyf/3e90vD+jWmziSRj
4BpHacSI9z/0SvPf8KyTAb4rmTSTOig8/1OvNP6N/BkJUojgVIpi3P9feqVHazjiDJWzSHqkOaz/
il7JE/AfH0WTSb3HPAlSBN+ML/uvz8eSFJ7mOIAR7wWyz02d3+S8+nvHt15zylMP3eKT4c/JG/U4
wkBIuV8I/N5DVuluVGrsIb33rdvFY0aEMJmxKbe2PCu4QbiM7cvaiPoKLP7kVnkdFvOEHaV2r+6Y
cjmXzWHFxWUrC06HnE9lL/esryJY/SgXOf09DY6R5qLVOUlImGmi+nQq/aeZ4r099H+l5l9caR31
1n1iHLMd7Sgt31L/TzOflP82rPpexMdkojstOxs4NToL1qK+BB1dVTrp03jZ+e29LEb8+O03/3Wh
Si66g0U3NtaoyqqHgRIv3SwiD+9ERspK1QdGZhH+KzKtJ852iD4Ls/LntbyYmJaHIp7Ycn/yQn9d
wXpM4Mc9n9N1V+01/2XCwU2W6pb3v9Ya7iWugxb3zoprIUmPydxcaCXonWznOt/UKS/jW1K1JOCC
aWTbyC6zdTWHY6fTV+kxYpLij5ZoLzXV1mHl50FpPzAk2xiafOmTL48pohGHSfkM7CMszXxvAM1Y
8OQSBXyY0jUSqbnxemZZTExXPaHPg6npxcWqrYn+J56To7RUGiiqn5Z5OrN63NKlD4io7lWWfRc9
e+tX0xZWUNAwTW8Rod5sY5o7+qsel9rY+0rjdHyzAc+HyVQNBxT8/DHh26Y46wrraKmH3nzLMbwz
huLM9lAOxzs7p1Zqi+GPoTRzWq7UjIuoRws5sYVs3k+Y6xl2PMQ1OD+Xxuq+f0gc9dx73NY7seyk
VQvIwPydtlS/5oZBNQzvx6TxTpbSS6CDTLG9dasPCGezDp9k0p8k7eW43ooP7GlDaOKHtVfjr6H/
sSGUbLCTXJb8TZfVjiNuKGnn69V7i+X3MDBayUVBcBiLWreYrxLIkYoJvYDortDjlvXgDypALzlR
Cs6tWjY3Z7lYDsMQd75SlLKpe25HQ7OLmS2I4lfVMhWhkArU7ykbZWDXpyV9xhEEGXygZuWL4rvX
PvH3SR7jVqObUVcPMm/boPHOEmcoemTkcPPANs7dbGsb5ftgjs9xVh9wKTFX9jbLMlz95aVBYaDy
51G6FAC05aG0tf1kTZel0X/8Uvwij/2T9x/+uudysYmHlea6/mA3b27vHlXNna6+9cJ9Hi2SBTNT
9UrnMXTU3ivix1hVf9NE8FthYBTak2HwlI/cLMSV+erwxc3jx++bY/rPLwMGYAo1PGOMOGv2PXXZ
HaE+/8K78+57vCSasP7STfMH5CtYG0/5UQnMg9RuRLLiZGolHodkkyfVA7nyiLPR4zxq3ZYSxTZc
aUDfGtP8DCP9ly+4CIPmdG/aYuFIW71D2nDiXJIFqcpDLZ3T8ka0s9nQXPG68B71M2uDXu51fPx1
/Wtto0yIjyKu9x2d7Swiz9nwY8Q0og/VuoFYRp1e+m143TV1oT5NaiRIsNIDVLrcCjSEOj221xuT
3/mJdXTaGO5yNmpea9NwfqO3RB4lXoFrnszS7Z6bVDtn+F/w0fr2rltex5pbr20q0mouHqeqQ+ax
nwtUIW7UWWQP3GXoi+84X8jnBQht5SzmYyXrW9cWu1UfQ7o3vKNXknhxknbdc36sosbQnO2a8mq6
dFLjfss+C1OeGs+nJwIQt2q0AG2Hq9jyIir9vS+XB4LGp9wVV6OGfGmfxvu1qlXZnyGl32uKuTL4
zp8eHCs9bTkNZ0ue7v3F5Exfevmxt6nqrMT8oEah/bIGn1AG0MoiXASwVrmMtCz1ebd1OmfjLrxN
thaf42ntr3CNsBGqRAatTUOQiDt4/ctE79NSD9ehs7NLVkGsK/wx8ug/YrijqYPpNVw4WuuVOX91
yGlBYvjmO89aTw2d288p67d+iZc4/hhG6MCOM2dv+L+mrSCR9MgDwoh+SLKzW2UzFY1ERxNpN3un
pM+v9pgYlYnWcWdL1w0IpJhdMaf41Vgvbu9vwavzy9O8jcZJPgETxLL2I/SJmrecUqox04vnhFBG
1GPtjZK0bQ4Qa0p6In+3Q/JM6dTeopRwu5hPMmusc0xJ04Y7CB3JrFgP/X227Cjfqa9M5IatlQ7q
O2V4FKwl9TKHBRAZE0FfsN6a9dWdvJVhveooyVrHaHFeNDGDg8td1kd8wuGMxe++/SUmw09d36Se
ufEnqzoW7cB01tvwISPm2R3jxLkoDoNb25Ez4lNMl+LXMKf6Vkw4+10/fUf5CBbdOidzO6LmuM9Z
sdQXlLHiZyDvErQUrh5jsjUBXeceRTBzu1kM7L12h11xzEpjN3WNs+Vz51jgmN8V9c2BzaCHO1ZX
bilreRC2piJRl3FotwwPRVvRu9rdv5o16gGppepW1+aXZZTzTrR4TNGQ9mCkXohq3YTuAcFvRHce
dQ4K7huED1xGCfOGPp/XUGsYluUt8hc99idPUP6qS2/ZV5y7dpJfdah1l2XeAQ3us/VvMmTGhjiP
TplV/77W9W/lJI8FAfkI3hurgVnSU5i/Wpk8oNte0sp4XDV3a1n1fhDji9nTfs1wqotXrv3FZwOx
KNPaXc/HnmXljjq1neONQTZvY/tMDI008f3MJI6ZFDu/oIUE42VuTKTx43BigLZWjGgQcXYl8lu3
dJdGFEd/rm6JP4bldOuk2Ne1dqVsdYfWGWkK40zMwU3aRqQVvBq20V757DlBAPfN/WNb1u6vJpbq
tKo1SSA28/ynujJupQY5VFYTtE64sQTkq97Hs6zb8QEqqrcrEnPe9jXDyiFtNCsYJrvOoqFjwL1Z
Jx8G+SrRa8AwiH3ikmvTsibLcQZTj9y1lnvikOx8UwA6h6keA7/snSJMk0HfNS3TZ6A77Iyk9Mut
VATXAS7pOxQ/f2tWNrsz+k5kSdMI5crGRLnbSs+1rT0ZqZ/vxmkV+5HC4jNFMvknntPuqWlkE5E0
5ZQkMVQ8U7NYk11Z8JPis7mLDhCab8J0i0PXCn2fl3P33tuwMezpXr2mq0yFC5fXfYue+YKub1x6
X4xHaQ/ib2WkTdgM0/BI89qXmGpGKiVVSFfv7s6Y8QKKoMIHe80xL29Hr85eCM/oB4sfPaBAyH3E
7+hucpWIQ2m47R48KGZcjdrbNaZ5ULdSi1HAjNBpTBVihMnu4XbWsmX9sKy91Vr7uXSSo/KzD1PK
mRHsoIt3ozSzcFVGupHumD/4zow7Gge7NbJGuyjo8NleHTX6B5tmYn6pDEmSPuaYgm07NKi2BgAH
9HDNfesdpBWVQ5Ysj1xLJ9DR1cpRkbHgF3Whd7+ZkdwXJznuJrcaL3Ot5R+Y773DbAiCh+ZU4Zuo
y1b9XsvW3s9Kw4GbDp/CGXQWRIv6E220L2bjPWFH2gkCGUFCSWbveNuup59T144dY1zcGnO145PU
AivRLjAorl4/v9k4VqZlupozvnxsy/N84vguN9jCSegtdNOPRfwJs2xbghm6Y/zPmW6cqa56KBav
POhj8+JN1asFTiwfWjalmeWpeWFfPVrSi/RaDZuZLGbE+PGXNuKsAWG5xUffRp3OcAux6sEcyyTs
xjpkZJFhKtCtIM/jCxW3FzSIg09wS1uB8xZTG/lO8tYUM1CL+CZhVnAABC8OijY95h7lDIVJZQcs
SlqyE/t9nXQzGpXJh+/2YWF63/7sKPYB8nHOkmXHfLHbF9PsIPKRAHhZy2wMheNCqZ64+dm5YW6b
3OhROfrXtVz9J/xeYHyS1WOI5hwraFEjNebbOIaa0mEmuPtcybAmBe0YtAxHc6sdE9femq3/tBif
DbVeVnvnkfe7GMM3O0rkQgOxa5qinXzWA99sGbnPO7jOEKn59BSjJtEgenYAhBKCNpSnJ1ffUL9H
CWePXEC9YdjRb2lPFKEhdG3ircpgWzr8wNwBpuKkr6PCJtrg5HYL+NecQ9kntAoIVXL0DPOaaBLk
lT4+tOlkIMMgr5Y+HKdMprtW6+nYtkknY1xnZl/LOSr/GROXOBS37A7uBbmS85WZZHuRWda7zlgO
q4JDXtYopEPfuy6uJT76qJJld0utTEWGAVy0ihPvxFWOl8CIzWprJmW+bfTS3lPNkR61rKxfZ03z
I2ib6UNpljnjOst9t8px2TnIobsB7xPA8XX23zsvWR/gzKvXHALMsytGc6+DU9+O/4zLvfvk3BRk
1rG35Jey1vznusTqCQToLnzQzcJ1ZuoOhp5V71O79C9JWVdfs1sO34rzxXFYR+2ow0WR27Ezhldf
ueMNZ0R+1FKv/HT+me2rQjG3pgNvCYRf+Vd/coaPQZjxc9HnyZMxZmxEinzGyvgyq15Ga7E+V8eG
0o0fxiAgbMJ1t/x23o95EYfmXW8QGCu2Xl3M10K0+mk1Mq5gLg+m41YGskt3x5T02uWfapQKrxLl
5ZkwCUa3LPUgXJE2Btqozyz662m1bW5tnujrd3jcMQ/NgsKl9/az74v0A8g7MomVLvJ9/Ec8gThj
vjFAmA99ktsRlKYmomiJRC5yy4zVC8/Y0JtPs4GdlnvsKDZmvRR8NIqN2ZN+SLgkfStz2446p04e
fFOlf8d/9ByZ2AWqWbOOPFpuCqhHdCpEFjS26+hyM3S1djkVfsKe4BfeUc7IuHNTRzVW7yif6nPK
U5v588GY89CSKyFbNKViZihhD85LpfUP7LMM5xWng1jEQT7az3qVcoUpqEqIp2wPxZ3ASQfQFmed
8duvlBNYdBF0hZWFxFuqP8uYDVdV5ocsrnAKcUGPRgT6BJp4VPjFRxOb5c500+2E0pNbrNk05Dzm
UHIDUNYcu4pf+PoEV3Pzo6+qa3tP5qOsJS+ejTlepwgFJagfOTdABWrrVZ2QQYIq/bsyK7GJ+6hR
fx/T+OCPZYRnAQVN3gln5gqwJY43Q2kdZ5jgDLxX/r1yOjdmuVWFS/UrFzCrrTbcRu/3x0cP+Cv/
kEpEJx79zaIenfU1Jzq+lEwbmCd59h0Yn77oGYP71Wow4BTrQXebvehRG0Zy8Vz4jPZitn8G87Y2
nLQIdAVlXl2ZergEfhxBhlDHhTMxyXA7Ck29Df70rNtaZlfyDpGZQ178kxv1Nq/cPy0N2a91pV3k
PPWR24FM8iv6Ug1Tcso2uU8VeXvjJnXgo/xNJ7iJ/TPWokTSh5jMX47pPLDIscYPgPqt9vdCrklv
P2JtXUKHcUkeqwmPBDeBobtfynKF5lsWYudQjc4BYWS51LQ38mAR2XnupH57Gvt1POmFY2zvTCYZ
O36EAWberEUFur5iSCjo8tYR5m3vbJVbVO9fnWPckqL90VIK/rKRPTPRiiUkM+NtKrx9O3Ydj/R3
XdA7W41bWmAKDg4tXpGm6vbE5jU84Y18TFaDWJX0WFoqMKvyhQj7OR49TpVF89Yn3cZvvS88f4Sd
6jrbGXpxUcXeH5lKEB+kqxzsTK/TFVCFae5fkhg3H93vxb7LyXC2McAoabWMW/yF1gz9DAjMubJm
U1NYy5MNRwDTQuPTKIGvmklvWIr0jCKMeTGx869kzXkIna55X5v5rzEN1PfcL54UGecRwcErobaj
n/ikz/MvpH/9bCOyjhJhvtAN4zbWjn+ZJ2u+FbJ3d1MD6ShdTk1LZiMbTXYl8Vd37hZN1784PAfY
8J59OqffrAkwuU37FWVQ6Ml+W+LgVHkf6GmLBZDS9rPGxOkZ0LwKkw537QDBDS1p52TJY1VzpLeU
+bZw1yaK7F8tM+HzwhCpM5KRBQf/elupgqcleSVTXu78mtYYrAAc2Ov0INdm6xHhj/p0fjDKSrxU
jBczD9JfUq1raKOS7xpsh1uzWfIdwe97Z0SDIygtfropeTBX+8h/yRt74kXDTVa53pdf1sy1FpOl
MGdvBBl8EBkBSAO2y0wLSIQN7gFXAONFAYbDK7IdcT+YSfXQRYvtnXxOPF0948ouB4OzfRYpRkHn
scDEQdVHvpn0pX9QmdHeOBpcjEGeEGmsjZpsAvNT/lj4mnuEVfzHwFMeQVX4cQQlIkSJvee5XHnt
i+ZRs3oWyX4ekcD65hFUCpUWZTNSkIwHAgDHamLixUG2lH5yazQz29Pnl22zaWQms9RNCPk2ZOPC
OwTBImudN5AcMPbhDZlu2z6w8ezqTvepu/fEDT8a/iXWYFfkN8Opnj1BlFdZv1W7mlt2JX4j8dJt
eESLsORos6nz7lVgBdzjQknRzrY6oTk04M0wdm+W85nhqr7Rr2Xd0pFKr2bjmo8qJWqpf2nM4Z69
RkwBWKHuaPQrhYu9YT8Tdy123rCqlzqW6KHePN5yPGKQtItDTzz9IjD3RVnu/aJlg4Nh1r/hpAoY
s7PwkuDjyjSVKPA+EfRuIS0Ahemc63OB5sz/OZppcbpb2Wv9hiY7H3MNMH+PqcNzVWQqjUFpF+mk
IGD98ELkjuVzxF1KDioMZUGiFX580A3tMuGbUBY2TA+6f/Z6p9OHqieC3Wt5JMQQ5SsXYsau7xDI
5CWVqQjsygUy1424zSRGcdbcIie/HtteF5rc9q1q31MdNLcOesVH0WFuATwlTnVD6CjORntPOCdl
YsCxqxmkvLBdisBTC/tg3v5NtW4zN0UH/4KK+6Jd861jEiliyK2JIzFLFAnhUkEyVD+w+E/0QZ5n
nJaHYiw++iXRT2p0+mNRTIeqSto9RhQ3GOMVYnbV0qJkrPTXjNL44+nlsJvM8VzeP3ayxQn36O6o
Mix0xoK+a1p8lv23b8R5g6+JGGUtpvPk8ZBnsXtEpsGX5dlqY/VmcqwM+YN3RsIjdv6kGPrxNR1H
JshYQ7StGrHbFolPgW1+V7frQTeo6K7kd+eJr6Lt/BAHuPXSetMLj8EDnuxs01rJH04/5rn1h6M1
OeI0C+2UqBwOfsII2CdJHoHiSzhyxJFeFhCWcjtIMVAcktaioH3lAtlU1qXI5wfTNW5OkrzjsWXk
YFc7sSb5rsvNY5VkuKU7zgI4Cc9mPh3tysEqZoIZ8jjaYgvmKjvnFkuViChWOhZy8gMrv6Tj0a32
bvFSF5eh7W9cU4FpuFv8nQSOoN9s3Q5sUVOFtau5QdcDG6m4/TIz3EKAvWDduinbeIRBjrOgJ8d+
9/pRzHCzaC/BhzrPW7/8o2GEqnjwG73RSN1WRdhkcm/pwwPM82cxVMkBHMnN6LtjT8N8aJvLdSyQ
jTr9d0xJNtPyDL5KNiRhzh+4ufdmnMIZKuwRNu+ZtWxK91Pv9b8ctfeuRipq0aAHLN6zT11QvWS3
IR5/13ZmnT1p+7BxqjYyEzHdMJWcYPAUQeuu70OCm4aeODbua6WVj34yUP7HsrX6R81a9vVgY070
5c6Z/ePkS3/Dx49BCLO67JZH5ek3yMPnSX/tiI1jYAxpt9hVhfQ2An296uUzv9aAg1IVxopDkoz9
h6W4v8AgWZXBG1f1xc1u1tO4APHlt5kkDMTqlV3DjYHjpISuAcaCATcZAJfNIRH+O353TN9okG6v
k4x+cO7zeUN7HwWGOX3Jb6rJiUxbvPxj3qy3/87ZmS3HrSRp+lXG+h5l2BezqZtMIDfuFEVRuoFR
Eol9D6xP3x902rqZYHbmaG6q6pjqKDICER7h7v8SKRypXsM3LGktY09NBYRa8VB0zGUYHARDaEYF
2wqQCb9V2maG813jr2zZ072GM5Zof3eAeaxKdmtjk5q3jpNtAjPcOJZ6U/nV2kQHMyVrLFvOvfI9
VdGmzMyffej/CLjbzLLHjhoyivI01jdmLt3oQ3ugH7y2ZWnXInwQRf5V4dsVV3Ec8wTEzhicv1dT
a/uCrKTY6oVqY0xVUX4zSZWBAn1xaOw+VRDav5TWiPW2FihPWtHHIS3EwEe63pCLK5Llg56D6TMc
P4OJTX6HXGDvAiN6iMk/qFDrjatWyCUBstkHhRQg5Wu/AWQibaJ5iwLDlLppAewTFB9QmKpGQSxT
1qo+IjIAsjCfk6CyzdN9lcWu07V3KD3xopJxkaqhwpD7SA9JWx+kFDAiLIDcBlYqpcmhDrMtDEQB
uE9cIYcfHhxd6jeDHXxLyvBurJO9EmAlV6aD5VG+g+9EIWkdNxgRZPJwlVFD/BoX1TvsKkzmEBBD
+YkBpN75YhEBEVsSFLnydObQ6eWVpApww6lbdNNjpuJ6Q6by0DV6/BCKkAaaIzGnMuIxpTrSdRk2
mywRd1OlAtCMeeNM6Fv8EogrycZjXvi7NuvWBnpYvMvpCKfFRm3UrT7mj3ZdrlSBhnvyuxHhhmf9
TtgJkYXQtY/ieAOFfwvzbhNRbkOjni63uXHQFihmQ7HZ1ReNCmVG41yJvHRD/clMmjuNcB6E1W2k
4q0myMC0vpy/mv4d2arGa5tEX4s2UVHbMQNkyAJymR7ZTbQQW2YnO+oGVgKI43VSP+vpiMdwchvq
wSao93HnpsO1YYVbPfjlkIbDbFhXvAakEQmYWl0ZKVSw+bYdmJXjoeb1YgKE0sQvnCBkrXxBM+TV
H6V7cI1gCzQ3wClhwiuzTDKvFtdpoq7l6DUP03VJuhkThrEHi83GEzFXHUWZ1MTBBG4SkCWXBz2I
1egAh98tLQThKiPyn0oEIeniU7lLdMVag/2U95NNqr3yS1N+jFMr+FIHTXWPYgADT1W3b2rJ2QLl
UNeqVkc/ZQc+JVDklFYNcWhdN73i0alHNK2itED/MZLtKyD1+owlYKpjON6UZdsc4KT1W9EZpVdk
uf6cRyrJ29AQ6mOEdFwoZcj/huWdHufKd8PiBBvlKCjcpsF7o1sBuFZCdKzLxbdWAUDHexVl2jq2
y8ch9c31lMZ3aaDYqySKZ5FoHRP1wULUO1abe+Rkk6eBRz2yzTBilIZGnvFSOf7OygpIYNJXS6BZ
QCn1O2p4Huhnul4pQbRQ24cGkjyX1TMN82JbjMDg/R5kaEaakEcSBGQT9gPb+QCKqnIhGPxSY/Oe
Zt2z2ul7SN/vaLeRYpQoodTAFIGl8WR5FLZ9cHzquuVg3DlIlNOT1O7kiNPSoCLhlXS+Sv+FKB+5
SdFSE9ZcQCarzqANiETYsKpkTkuPVAtdDGwJe+TUxcPYD+bKLrL7uhe7ycEwKtXvKsP6Iakg+Hrp
EGviekLIJQZaR42gT/iUk7QLkvg+LUyLd2HwZZDjQ6aJF53bdTXWEze4Hhq7MpU21Ef7laOHX6pB
u8/k0LUlqtKFBvx0oN/Y0qZRkhvs1WSqhO1PI3mvlVZayzzu12SpIEko8WrJgJVqa72DkQZX0nO1
Ab0DvVC66Aek63HgcZp2xiqUwltdax9sgSYV5pZbbUh+tE4Sr8qgfAMw+1OTC57XZnRAmTjfarm0
8wMDRH+IKLakbDW92lhTcHBM2j6Qx+loB1ex7zzzMLzVFCnmhRDdDzJmG+F4qyOPPPpQtKIsu441
rtNCszl9eBOZ1hyTlcyFzuX6/TiCq6ZCUlRMFHLzCzjtrR12B0Uf5oaivypzx5WLMt2WBimLL36M
ZXYX+w13vx1+kUNTWoNopC/pP7batJZT9Ueuj3tdtHcijzcBtQr06d5VXZIxfHOeogLsRFNtoPN4
CH9judhWWzu3tZ015uNGZIOG37DqrEMdU2ZsBPD6wVIp0+67rNmbcYa9ZxO8onkKONKUfijtCJWu
Ud5jBY3LPP7T9aaIbLf34aDcobpzq8rBndT7rtmIF1Vq7vKu3kjW+Gg5P512g5TzLe3CEvpp4gHt
i0hgHBdE+1qQ+yRyt0NE/c2gHQritlI4k3IXrCHgKpJyk9Kg1htKLJm6R3QbxYL0cWy/2NYeja+d
nWcPQ/ZFTSRXCHOGAhgQiWSjRmQLEv7oJ/vAGa4qpPFBrKrGaggN+i55NLs5pF6l+HdxVJAJKVSt
pqmgjURmS0WZx60sGhSVKmsbW069RqnlCtfRcC1Dgl+D3/4tTdk10I8vRht50oT7ZNF2+HJSrRON
RkMmHgErUzfvuNPWSiBe0nI8oITzO6jFARH7R1prrhXbN9Q4DqSrI/0w+prkl6vCrAsscDIsJarR
tfJii2z8tnUaeH9xrbixwHkAqh4FdoSY2HJ0IHmGQfMquuvWln9je7lCZ+NrVWY/fSu7Gp3uDZfP
35Lkb2XIVq4JjGCttvUvYccPkqFTi2rrR3vG8XYmxuU9SKvg2okb2lDoIbYxHb13WRKdp1tvGOl9
rYfkFknRueKVqbd1Wl0LISCxwN3M6g4Eg5OtnYI42k7FVQH7cVUMQFzKOH3hkbuXq/o1bcOXvvE1
+hDW1dArz2NXvcN9VgDrZ9K6S6QnmaMNQH/aTuPbZMBYTQqiZKDa69Y2Xykfo2Ie6a2HBv89d/FB
tcd724ZjLenbGZVhpcqGpn7v6lmImFWbTDjwWVtjVK/jPLujZGetwyQssBUtr6UM5FKY4N4YKuN7
BI+GgI8AW2+3birTmU0BFwdScF03JfLDVMxg+oqR1gYaxFZLBa8Ypb1ddfLKBCHDVh4OIP2LdadT
uQWbomxK07lTEHa99pMwhJmaIWAKIr1QpZ+TEACiwqdWsrYKrumQBuIQiRM7vIrCkeUr6YoFqlaw
H5WrnMbDukbcbS1qXCp8zirXA9ppYHu2tdnpa1+N3o3Y+TLqLcXpWKVul8F0634Is3Vt/TovacGM
NQsdxpFrdfWPvB6udfKEcFPq40yhA5JhGs+okKEOIBtUOZrOGzscR8c8fMVY/KuBjtdVjua6m4D7
/qlJ8jtGRsRU5bXHXJjEuvyuRvF1hPAc3Yhgbkj9FI36vZCrtUHnNBbGWuIsgCaCc9G9TPD33T7l
EaWp2TViUQAZoj22QPd8risJitvcUrqPU90tZXaTSk8iBfOAiulqDLGzunHC20E8R0DDXWGa+1gt
D8FU76qqe7TTtNzLJUfLUPwnhAYAR7SAYEYFUKPTH0xteDHiCpX6QUXzWUD1LsdV4GRXytDdovr6
VKksoYb8YYgpORWxVZ+Z0lZIvHIC7btfPNQSWLfSmTZo6cp0IulnZeFjRW2akhxkRedBAdcoguFb
YKY/oCpqW9HHXxop+dUBOPStN41nQ0OTtzcgWvPeV8VW6rdlsh+NErQCXdckvZmPRVxs0nBa4y3T
0tdz2seIekDvJbo7wu2LZJocZQwdU95A0tgMIzUjkUXqITda+WD3yXVoAQmzZe9r6KyVO2PusANG
C5IHpHXCp6gK/Ue4iTWboZEP6iiiN0SiJ6hNmvSWWGnipWGXf5mAP75DZuKGUREPTLiJsj4Kb6PM
6EdXNRCY8eCqfkOhtr8FRYuMmC2PIAra+GqUhL0fp0rb2GHeXI88ga4zIwl/+nlYc6WTt2o+socK
7cxNBmdxJ1k2emX0RF8wsH/Fsu6mNuJXq6KXpIqZIVmjp7iSLNUDDlhed+FU36QoQN5aWibvlaZ7
xtQFbTyfKqinSfmzVSYIDqhqqx2U1A5oaCa/66BeE3O9MJA2k6KjamBCN1Puiib8NtodIDbzuYlA
mCpRXs1J1D2UI9WVcuIbmv7lUxWb0gPM6l+m9ooFKOSdyMI7Qr6Jy+S+SowVDJ6dRAFiRx1J2tJR
zrxKn7Rd1In7KrIe69COHnuzdOH5g5fCj/lQA5R2B+QJV1ba3ham8hJF4qpQf8UYgUcdGQidGeQD
e0E/HmJpAtttoEeFCueLLd/0sL+7/loxg41FzyUw7wur283EvIqHnaW8ST29xVDaxa2E2kT1Q4t/
olFGDfmZc7umHuwAFpp+SPjMbVqJal/QSCBEIHas7HF61axZqxfIqWEWcF1osPNatA4YnKGjFt8G
8aylSRN3DAAMqtG32kEeguylIqoE7hQ3no74G+KmwLGk+wLadU3gUyNXV/dFlt1XFgpydtR6Wir7
Lwn4xo1W8LCWADv2aegOU/EtzLddGV0V0fgQz8WkAQFhuNB2g8aLQ4Y7wLStuy9p61z7ne2sAoGI
32RHw16d4sALMMBw6zChJgVu9t6XJURKSpjF2uTw7i/hyTm9vOnyuQ8Abi0p0U7odM1y0dL1lGR+
s9QIaVQ2V2s6mNYqxfoVv5sbDNc23aB8m0R9BadnM+bGNhoDwMqx89tRCZGUV6TvloLU8RgawU1s
VpTmpelKKvotanTbRELCW4oSG1XkoeOdBYMxh1YNNMz/Hap0AAU4V8npbqo2vLbEW9TIAHN0nki6
MU7wkNJXrlyOTg/6rRhe8qnwihyIq82VTqs8gcAGiQjlSzfNlF9W/KsuG1DoqnPTW7z/W/7BADK6
Mnhkp2Ut1qXcUHFN05hA0tvwu8vwFiTditg8i6vMpPK28AIneILaU3ho/FhvWV0im0i9zUU++UD7
/6aO5Gc63OG61dMexLWRIcycNhm/gjbtH2LBX1Es7sq3/Iuo397EzWv5f+d/9VdB/z0KQvHHGex/
/ukm+lWDSnoXy//X0b+En9h/je++itejf/ByEYnxoX2rx8e3pk3/GSB4K+b/5//rH/6ftz9/y9NY
vv37P34VbS7mvy3gTQpJ4s8f7X//+z8sxKj+d4rFJsrT1/z3gmXBv/IPy0JT/mWAB0DsGAM22FOz
2vQ/LAtV/pdhqBo6Z6i/2TAd4F/8F8vCkiFgoCKBIrCCntxHVTjD+ZeFOL0zi1drmopG79+wLJYU
C1mleWTB9IBZpePRuNDu0TT8lZzcCD2ApC19lNTuD7z0wq9OoYn9h2W5/0eR6KPq21KnCBdXaBwQ
UnV4I6jZLWTDcMJJ4W4B/5UtG4mcNmtMKt+m7vaZYgG1kWg7TRMA4RUgyeSCYcHJwU0Tr1+0ikws
II65JLIeiDgPlJCbQIqucikBq+hUmqt3NJeQe+elZ/vZwUSQ+IJamqLyV3/UZ/ozb9tSLeSddX4B
W+OjBhcoQdTKsA3wSi2Cj4GNgTfWo4RYetnfDn3JQ8EcANE3QRVuxwygfwBSeq8WiUkjuAdXcP47
KEuzzD8/yJEttKJYDn7Z8Q9CP0NOaBeGHhG8u071gmYTgkk7tuS08aeqeM8ctZ6xg20DXCVJNqqR
OA82NYN/bBv/V828T1rg/BRL4RQg6cb2Azx+/FMmX6kz8kLAlaOE8ENOs3lNtuHsTdjlKe/ZMLuX
ejL1Da3i4ruTttO70KLAXAGmB89vkYheA/SRHTcGdXLJJ/iT0fn8+2ysSxXd/CMXv6AgDVjRAJ4F
VY36U/Soyx3COtkMVahtw4P72GzRtqivtLTON8DcIpecobn9+++FUzHqbbqOGCTB4niRbKyqEEC2
Yy/U6+Guikodc6M6vYV8Ie2ttLLc0UB0kNu/Tq6TEL261YArwKtlgsY9/1s+xwsL82FDxV2Wcpul
L4iP0MhaJ8eWCOWBWP2NOD4U1tgSWwGw8gI7cCnaNi/9h6GMxaxLH0tVyqWJp8oVdIER/OShknz/
B5fYeI96rrU5P7c5BCzO6by6hGrTMh1r6SYVKU4spRDDPfyP5XWjVfmVrufahSg4n/ZPo5g6cp+a
Rk3SmgPVB0XK3MhUpCpkdlRPK1kkGuwP2MIr2NX6Cv7nq5Xo1oWvppz4bJxOZy4QE4LwazkeNJZG
KcJMI/bMLM02bZaM93FDMERIQvxAZjncGOVAb1CXHVL/iapvH3CYSDKt+wSrgq2CFxwPeWBmX6du
oJ5+fuk//z4CAMIpsm1ABpXNxaIQpzCiRF7XawpB6aUqbR7jUU99RvcvDPV5W2GMhYUXioj8F2Z+
x0uBVZuAy6zPX9noEGGKKGjyw56CKkUKDD2SC6Z6p6YGRRjrIcdijsb85x++N4pcyGmbTkzqSAsl
r0wDHpU87M1Sdry/X0XDQHvQZmexkItVbJOaKFqg4cRLEuRNTd9di8MUhaPhkq7kJ1crmZDN5QGA
aybwmvbiUkv0xoow7OZ0Jg5w1kyXxkPRAeJeOQD413FfjqQuaNTfKkWNOkGilzeBRBvLp3n6XmVK
+w1MgkM+NvYvKSR8AOFiMD2dBPiCOfTnE8felxXDxNdAVQlex1/A6lXFAXqXeH6pFJtekDoobZBu
CG8Yas74bJED5jv/LU4PygJhzybz6ReBEuiZrxRgK70IgVIgDlliPxgcql0tTfk7DfvwNtE06ef5
UU9tNlP+71GXzrWVrU44/rZUYx2hX80gwjRMzZ00wcQ/P9LnYMmiqrMELHKhTHKx12wT+1Gf//C0
Ita5BB39Bm0L+4Lv5YnAdTzMYhl7Wsi1gt6Al+CEfcCYHTl5DfQy8omKZ2uAOtaVhXTgaKPyXRo+
deZoGLJ2hd5peJDDpHqQBhxUEUYrrymZWPfnl+FUNME4losKJjSixgsvlw6y5tiFBUAsHrc7rcXh
thS2+aUNneJb36v+7vx4Jx5MLIhhIobLKSerW2zmQi6xm8qVBCnPyvopoHG/jZ01dzQHYZgwaZz+
RXQhKpe9YdOv0dthj08jDeHUQZOPmoIvv/bdBODRjHTjkiPjqfVwCArz2cFYfKkA2wcOWy3sMs9o
Rf9lnHpJQu+2kp4JtslVjqreX1+nNs9Yy1QJrQhlL9/1bS80q0eLwYsDBYBOpnB/INmIOrvF/xKx
g4xGjGrcw/nvMO+741sc4WMEGZB3ZZrK0kIoCRWlHzOReQmbjlrC6HsVlpwbvJuLO0MBOjqpCIUq
WjCsUM5SLmyDE+ec4ckl/oQ1ffmIUOFHZQ1AVE9FYdVFlhURzxKmL5Ca4UIgOzUUzGd2nKLhC7tU
dzUK3sWpQMK6sQrJbYquuYpFg8Bo2YvgQlA5ETQV9DS4TrCJRptgDjof7kqK/GbRYnLhoQ4yILmi
2JskxRVyInOgHOhjjNrS1zr/KU9M0CDzRcXDAGQIQfV40A4oOspzUeCFdRs+Nr7lu2CzxyuQTPXm
/FBzUFzsGhNiB+m7hS+LqS+iRWIbgdLDofD8NtZgDoH28FO1dY0wxIqbLAcfGJHtobi+//3Axjwg
7x7VUZd6JWzX3ieUS65qBsNLipbQSx6q4VabwUVN26p4HtjJ1/n1eymFOhEReCngJoTK/SxZt1je
VNdrHT+XwJOAH96lVfA+4bm4aceAviD+ud75mZ4ajtEoahANeMovlpg0mxzFVyQXOh2lQQX12mSa
yucqzNNHxffVCyt7cjzEM2RFIcPnrj/ePZUpVZoq9ZJbDqK5zrmsVo3O6zLoZpJ3Ji7kgp93kMN3
RDeFwebvOf+cDycEJjN4lLYLvQkLpDn7FQeR0GqdUrndSmF9nwCOzUPUn84v6x8XquOty8DY0yMy
rWIRvTR8jPCGG1pHDj0ssnChMBHevUsAmw5bKx6ch0LDt80bAk71Cq/kqFjj4DEmVyV4wr0V8wRc
N4ZMyVkeAkQLYdL/TtGpLgCmxc6zBRPjrg3mfpBl6D0dsEDQ2Q+rXKannBjy/QhsDzUONBUlREk1
+YdSzmpwVThSGy6dQL8QiU48PABoI7pDiIUXqTmLha71Fg7yBNCzEoB303IoPbRSS9BFQ+wmNpz7
DoVcD95x6nYzTgitEswLcYPaqPjBrKUkG6/mHgsqTFJ9IWSdqODw29jjqIwDxNCtxa9Tox6hYieM
POik6loYk/qIqa0Mc04xdrIS0tRREQ0TKRJKat+327EdJBBuQPnP74vPwdMxqedRTALM7KjLxDLT
lBGLEyPwTAU1LDRW8jVikcE+6yBBnh/q1Ccx1bkaypRn64jF0W4cAWS+UwKvoUvaIB+r1QfkWSw3
gkKF8pUqaJk2M4akgkn5C3MAiHH90NuuaU72wawE2n9TRo/BMqwNQgxIwJ//iZ/vLwq8VFMtnOpQ
0bS049PZQYYPSxGEHk0xdV1UakJrN6qvgdrbuBUE4Qqm8aW3wMlB51XhNY6ZnrYYNGjsDtigH3jt
wNmkZFaGu0TGyH1VT3nyAnCasioEyAtf/nMCMBez/2fYRVw3JbkfYEoQ5Gjs7BEqm10xAcD8/YqC
4eRtp3Bjkqgdr2gAngpRXsJOVGjm3pighrVJ36EPHhr0d9BYGQa8es4PeqLq57CdkduyEPjihC2P
1xRO6JrroafkSCimeZCstaBNXRPF2EcHqPoGDfVZehZcMXQfJBtIkC9t9/m7LSIuP4LyPML2PGzl
xY9wSp/EZf4RRZRpd7o+BDsLNsetmQrxwKftvll1Hx4MIs1eAITYF6lRXPdJLtFqV9Ubwxjz5sLK
fH72Olw6iELx4Ma3ZXm7KiYZZm1ROOIhXnrNUOegBqx+Ew22BfikFNciRhNaRLSsWsqy7oUPo55Y
E12jmjsrQuFkPF+PH66/VhmCTvIZvzGrZtORYG/QQDaunTrs15OkDlcFwDssWJQ0/tngcH0DBtuq
EX0MdQoMpXbhOj4V/nQuRX4QIlpU1I9/D5Z8VVfVdeihuTHuFFRxNkNgP9sB/OjzUz+58uzKP5VJ
pOAWu4EML9NGeeAgJImxG2td/95RSduWztgMsEwgoMptr+2wdAtv/W5Qv58f/8TDgy6RA8cYmSWM
LZYz1eAAgS0mtOlU/8bKf8PatX0a6r7d0byN9yqA/3Vfo+10fuBTccZQZXons2UqKc/xEmdTOFgI
qjCwXM4wHye9gq+tX9hZ8/ItDxu9ODw45y6drc4b78PGMgvaVTa2C147k7giGYGAsDFq1yms4Emr
Qcecn9WpoI1xNg9ibOhh5M9//mE8aWpmEBLjTZE6Hoyphkuf+xVSZiX6719526QbOYvT+sI2OjWu
ySpqpmwYlJ8Xq4nGzSTHoRTBiRojtJItBFhG+c7so3dNipRdZWrv52d6auNwS+g22SOTXXqvhBJw
9oAnv1frMo4oE2aUSThaLXx5xfwGqrajyZU6901WXzw0p46nOT+YqYlqtrG8jyMLJrblJBESaXnm
tlmhuUVRhzvNcvQLkeDUBvo41OI6zHME5TucRzxp1oKyzdpYz5adgIJysWkUy7ywYU9+SFIZx6H6
RHt5+SFtPqKjoGvnp7yD6wkz5hJVX6AIMH+iBOPNbEz77flveWo9GYreCE9PttAi/OpN0/Sw/yNv
wjZhhu9F60CbJUqhYlzYqKeOPWGVmKrNtmnGYj0TKPUOzyYag5TYkBugMzmWQeydn9Cfns7y3FtQ
VHm2EdyoAxyfQ/wTK4GCf4y4Q1QfRrX2N3SuZ5BTVJU7IEvXnYwgnmKBb7d0IIZOVYp3lGDardpU
1Y5HICSUDlpwIin0p1AKcHUt6z1LNcoLIfjUJ6cPOGugqgp17MVDz8KfOxEIr3gT7DDkfCC7lbWB
I4gc2WtUDSeQnqb25cIKzQnsYoWABqgmku04feFvd7xC42AVeVLXkZfBS7sGyvVNE9H0PMLYXksj
O1xpK7T8FfA79iT2Hc4QF5rEJ+ZNqxrQgK4BeaARevwLpEakgcjpn6tR3nq6PEyuPtTRztEkHREi
C4luqM0XFvtUikWRRqXCBlgB3vL8qz5E6AatpSCsyTbKzq63IfSPwu0slKEpvyKVknbJjF7LYOiK
7lZS8llIporiTUSrVrtwGE6cO34LzlBUVYlly8yn1dVsQCYl8HIzkDcoJ493VhdoroYx9IV21bzh
l5971vWkEEabEKrE8bSDIFWdP/6cikgU/YDNUPhdy8xMQRBCVrZ5ECZvsYZVRBjAHlv3eV3vz++4
U5+bEiAfjieeruvLyIb1uRhavCFoPelXeVto+x719j2skvcKkT0Q3127OT/miehNVYxp8+BGa3cJ
0VAG0mNwjHRr8APdanHQ7aWotfdQ9NJdWybh8/nxTlyKDre/DCmTmxE/xuNVtgbdL3MDbYEI/IIX
FFG+MQWKArC8frVo81wnuIxeuDFObCLuCg4QZTETsMViQ+PyO2CsQSuFyxjfV703tqkmRxttMJKH
89P7tJwkLDIXPh1uw8LtazFURZ9tIovHSVUCPU6G1mxxa61gIEuoXflydWFqnw8rW5WLCdM56rew
pRfPN/jVaoYMvQTFrIVkofSG50tw9VelnFRouSnjXsiW40F+Rvq6zYsnmFmgQiFqXTg/J6ZOI1uV
uR51lYbjIlg1PaoosqBKVcjoOupyk3vIv8HOsos625xf5k935Dxr1UChd24HqfbipMQVUQurEFw2
ZB9UPMT70VyPJTD3C/Hn5KTAL/0ZSLOX5aYA8RmSMiG5cQJRbAygikq5gfe6AmQxhIa7Pj+xz9fy
LHYNvI2+KYgMyo3H56OQFdylZ7kUva3LrVHbpVv3dXQDMi58qxo6uLEa61eDPAzfwY2JO/x99O+Z
XBobfDdAkOcO0lNBBAm0svPvVW7V10khFW9dV7cXNvunszz/Vh5EtMPpBKnLeOUE2DvP2kaQ7If8
oOLS9HPq5Pa7kgQBlgVIsXwvxrz0YGlKF9bp05Geh0ZD256jNUnSYtsbWdX1OW44rizEuO/iSn1C
d9jY1NjTXLgPT+w10Ia8yLADn71o5y3y4TpEdzkxe9Qt6aSOwaFN42FNlT16Pv/hT41CN+tPLw/P
SmNx+0w+1kG5Fkuu7avFnmShvWpL7FP+ehSaTDRgEJjmADnzHfhhLtgJaQUFZt8dMl27qqocYnZn
XCrgnJgLYldUrcjaZW7uxVwiXN75NtC2oKPbu7yS4o2NdNCFvOPEFiC1Ij92yM6ZzmIULM7hgpti
7llF2R4crraBmZi6YIWVC1Hg01CUw8Evzl0OA0TDrPz9cdnM0rJxgpklRceh9gZdi74l4ZRThsuC
X+e/0PxXHb1CZuFxzpNMFVWjZbYYqteBP6cBpixBHWNPpGAGVCdGyINcMdcYUkCqxsoi64Xqnh/4
xBwRNyfBId3nUOuLm6uGdyxiYJFuj2PIXZqDntfL1kaQQ7UvvHNODGXywDLI/jlZvOuPl7MM5MAO
GgWHbwRg1jHONyWNwNG6ap04Gb3z8zqxoPT3aPwB3bMNosbxYJ0J5N0Ie1R+BjDQ0H7s4ar2wfBg
eN9Yr2jJlt+wPIlnoHiQXjhvp2ZK2QitEhmkzSesSALnuMwURLxqYf+IfIqWmPSMnHHwKX8/Tey1
KexxCc8S9MfTnLD1wrJ+BAw6qJi8NWIYXYp04aPeTjjWwBXWEdlw8m+BX8YXIuSpWeKBCgiEYiDJ
ymLsyOik2OnMGeFPAoC2m+VpnTCgOYeX8HyfQospk/Krjklnn768ox1P0wd4qqEj67jogSj7QZ66
QyuZzYUJfbr15xYTsFONCgNeF+ZiFHtQAlQttVkQLMsPJq7f62HU8lvQWuouGDDyOv/xTiygxaMf
FDEaq9BVFleMAaKgLmr0IbIIjrYVgsSkWy7tYE4YF+6ZU1MDcQ9Kji7xZ6Rc0kdqKEstSsfUmg+i
gMaPYA1aBIXKm93Ve9FFu/Oz+wNvX8Q0sve5eUqdyOa1efzR0NEityOuupagHLTqxgL3oXRMFa8Y
g+4xU8we2lk6Tu5YaXYN6VBCVMyZFLToUXtzzELzTHgnX8//rlOr7szGzZwXjWbnIgx1Uq01zN/m
Yg/zHzJXfOcGQTduR3uY7v96LDAA87pTS8YqffGsMzBLHIccrbEoKcAdFJB7sjxDClfL1M35oU4E
vD+oP16EoEpVWBJHl1UdWn6Q4eTp1vCAN+GsgUYMVwqkSlCXDbW6e7bb6aFxsuLt/MgnFpSRubVU
gsAca49HbguENjFDc6BdCWWF616FWW2G8kTSVZf21Lxgiz1ly7zH+XQkzOjmH4+FIAdG1MGs2ZcB
sqz0RtkjWd5vE5QH96hjZZtR6/xtpQPGVC0o04Gj539/j2G7SiQi26HQuwS4xpMS0vRUZs1+YE/d
1OuHNFfwQ887/eX80p76qMBnqNOR55mAtY+nG/ROjzgiDmWqbkl3XTRCVKb7jMR0jGJqHBvktrC1
9Bjpvb9//ACpBfUKfYVjsiTK1KoAaObUtovt6ls2WT0C6YxMo2W6UO46tX94y1NlBSgEdHQO/h9e
p5XuVGPQCpuHB/KUE3p2uy4pfuKa51z4cp+jICgAZa7mEm4BMC4eBT3APPj+qN7HmD+i7WTlrtHX
Osr8hXktxi69MN7nmTGeboGVITd2qJkez6w1i2QsZw6v6Ju32rfTXddGd0Ol/62xEFfIXFgBZQ+G
A1rJItQiRm4ZojQQHQcJs5MDYmo+K8RX1qWL5NSUiOp0xDjsMp2G4ynlo6NBkESQ1kwV5HUiA0Hw
Khvmupi0Pb/5Tw3FnUXKb/FcdJa9V8Te4hElI8iyUBax9coS4I0Q2SOBPMHfD8WDdL4QuI8p4hzP
ClLWXBctTVfz49BNGjwkEffFADBUTe+vh4JUQDam8himHbbYE6VUUXaeUtM1KvoJq7b1lV2p5sUd
wj39z/Njndjvc9GNjv48LSBpx9Nq4SWjrZCbyCdY+Kg7w10XKBh+SLMGKZCT3fnhPr/SQIeC9WNe
c+vSWOyN1MoRAVN6EwJr43uobuAcZKXR3xacCPx8qn+QWZysxaQcUtiRErRJ+YGmZdb4M+akbvZ+
LIodcEB6GeenNadAx3fO8YCLaUGJQYlHZx8qCboJio6yLkWOCnmxSb+Neg3nYycvL6zlfGKXgwKB
sGDncLdCjTz+dHBx/aFGodlt88y8cZxB8oQ+pjt7CKMN8gT5upoGaw8LSd9n+dg/n5/zqZ0DUZO6
B0+Jf5yyPsZk0sAWpQTddKUBP9teSRCV0EW2yfiqOzC/ygVwzfzRPk3Xhq9D4YAs2FxG5qLj5Gkj
B1Cuje+xLyQTCfreONiZXVyq7p0czIEIasKNgNW12EEVCWqiNUxuyFN6On0w7LGBGXfAKOO/bXuz
WTkTFj00k+nJi8CcWy0uUxNmKT2axbCPNHV+MDSunNr1Ixc42kdV8f9xzc30m/ni4d6hXHq8d0Qg
dY0dc0IqXFB39IqEi1sgWldDraw7Ect/Hz3J/qiS0FCcXQIXe1W3ic1qxCRLkZWbzrQqsI+6tHfk
IryQ734ufM8LOhOnKABTnVnGmFyrUuqibBRTl3DO65Q2hffeTf5BB9J8a1mV9HWoeRjJwDZ2g1IL
DxI96sZkGBemfSrcsXn4OYDfbB4Vx8tMvpr4Xacx7XKM6diizldYoXbhdXQq+hiciRn3SNriLE6G
VDUhaAls3BFJw6nWRNcwCbUOE6qx25i+0blNlFsXrt75EloeR0onVC54bVPZX+wgvUIIz/BNcvkS
cwY9VkGoo++1QVp5dhtHnDlATH7vhFiS/H3gmTMJC6QdqMRlz3fMuBvrSjNcww4zdLXzCrGoMaJu
Q5e5Q5CCKuN/cnZmO3Lb3BZ+IgEaKem2SjV0u91uJ3YS+0aIE0fzPOvpz0f/wEGXmijBDhLfGMgu
UuTmntZa2Y5N1YckRaXpS64mOGC3HxL1JA0RjcUJmDhCOdSE/BOyYn0HlaXyOq+tbLxOyGR2ghIN
JT7kDE6L1o2HfvQRnI7GveEelSnK8wwSEGiY9PduFzRZje6tieFQJreYBdPDFTEWBv7L2klO97/X
29FB9gtEM1kn/g1oijy/r6L3dYYoz+t15NdFPOjBPEtth8gJvb/gqC/ThzSLzUsxGH6OHBXV4FBM
TG5Mkq78/i9RfUUaYeDtJVEAIcLtD0lKa6gMgxKqYwGZGPveRcTHW/+8b0X1LssQkeYpY9KEprdW
2iIMI1+PRFD1tWkf8lGE74DZwUc19ROSDXYTD9/gu89LhAjD7nGGZbfaiYCkje3tJC6QoH4g9lAY
3f4G3sW8ztZMBLmvlUHZz+tZuOPUBgxe1ej7GjA1iRKd8/tLV8UEzAn9j9KAeeTNBlupU/WRRzl8
nmHlamksHRHoaahcjRbMZmYIWfnPW2Q0jbliZFPxChsPW1bmnAi46oOy0sVLp2v6AaH39hjBQXXq
E6CfOwZVZ0iOFYMic3A+Pw77q8OsaWM4tEkvAtLcFK3bqHqe/Dn8en9ZquvpSU9DJQPImLvxN00e
2S6cOCJgqNE65nbkncYcNnyvyvxP902pvhkVS5+hdSBDxLG3R8UyYWUeJxy5iEMQuY5mgsPVEGep
meBv52LZeRPfcj/gDl4bNG8NViZcZ6DPnKBvsvEdgnt+YA12cRSDl8M7CP+07U/ZWTc67z3Sd1+9
qRUn4YcQHUK1dLm/etWv4X2mEM8kDcVdsbmtotXa0hckW2tTNl8TpmQhI2xrhGgSzSm+VxP8SqcY
eRQgV5lRaJzipHiCtkKjEFFqKJ0sK+x7O6dM8f3ReJX0DzIGNeztHiHYhEw7sT0Syqho99RC+1Y8
LXPl7nhnxXm+sbS5QPBYmaFosQT14Z91m5WXedXETqqiXg4himwHs6DNawNp36pbEBQFYevkV7td
CDdRLwk69Fd2jpfSFPONJiBjsmhzc3NWp6zGYdD5nmXaHzK6LI911nxaLXjr7x8dxcXBwdNaga4D
j7DNv6bUr0DOUxFwW5T78gmycZ2xt6vnoalnOWm6Y0/h0xnHocWBn6O1bm++1JBqXo2QOYmCC+gm
6VzruBilfo1Tr4H+qcqyzy7Es3tVPuUyQY55lFiAHGxrt8bk9+5cEk4j5IRUiCXgOzQMkstsDZ/t
1ll3bqTi+aTdSOteVnRA5m0+YNosLXS9K6mXkU7UWBDactoBIh5uRHn0yqG4tNHivZ8SuzvGsJ/s
2Fdu8yv78oC9cvDpOPT1ikMMJtter/B8ZqcuN73HvmWo32KW/Ogs6R6IQBFN09YFVUF0QtthGzN4
ejSX9pyjCFd19TV2ET/IKp15gsaPr13Y5Q+WkdVH2JrMnfuvWi4xEXE8roYHQP79q+Uuad3mLm4l
ABwOQ7QLuYQ1JNYxWar2ec2GBirs5qfnruhfE55QMKP/ycfeuDcGODIeaS5p6lEYJFlA4Scv0ycc
6R6DicofUCIBMMIRNknnb9dXLG1ujQt1z1VEIJBHpz8u8PecRx0iwp93CK9NbbzcMgpjdHKXwG9l
K70mNa65ERqHpbahMiMQOt+39xb9JccA2KwfzylV0E2U50ax1lG7I70MQ+17MwlUa7LWR4MopBoT
rnFRH/UWJcBjuozju8pCx1RkSxIFY4oIjJbY7Z9Z5CDrNqTr7zAwu3/d/4WKx4VjhfS5ZBVhgmVz
lz1raXLoF9wgKsLhicj4nylqmof7RhRfmGeFJ/xHFYqa/e0XtvVmqN1pcKE+Bt8Hz2J6mbMakvzE
3QMrv6UaoFD62tYm602WfvaHEHYhsbTIAvvt6hqBJsrlHzP2u+9JM/fGB0ADKPMyY599EVNnI1iE
cjHKsfAqeweX9oJ7KuYBuZ9aE+1Pv7SSh4hmEHVqHsCtI3F9DbJdpmICkWr946S18zFv4ReOp8bb
yVbfflyyC14kIE9UdYj5b/cdau5M99IceRHNMZ+nFJpReEj7nUjorWekykzUILN9GahswlNN9Fa8
aimJKkHa2ZsR2CUao66T5fMC7LEuP3XTZAUmHYefnSMifSKDI/yiNUsrcXO92h6cCp08BxFtXoLO
MGu4iaQke59nwc+eYUzRLMP9k7WRXNzuZdiEuZXmjRO4fpm/z+JUv67hUKDHo/3xC5bIKCRkyZNG
by3JeewZ/hW+mo/gbimg6gUtTVg7G9ZOKPb2aeH/T3xEzEDE8gZIoFcVY+R5aAduWKbXqEu+4M/6
szunKRF/NqGYmu2hF95GKzc27c03Q6oZTo8Om5OjjYHuRYjgCbM5Joh7n5NsKnbWqLoEr9a4PZ5I
N/YTvRzswWd3Wl2zOUex5e/cauWqeKVlpZ28c8tOt7buapWhw2j/OCGt6aPUhKyqOFTZOl814UWX
+4dEaY9aDdg24loQdreHZJpyMULLZAcx3OO/GUvnnT0THqMGit0gcrq9uoHyktOWpCZDjMk09q29
oS/yhDopJyXzirPudBBQxcv8AYw5nOHm4B01TSBS2FrpzuOhWqmEbxJz0QF7k5mItkunLvXtwMn6
6NqmM3mo1pfXdtbbB2PRvtzfWEUtDOwqLXOebDwKydDtSpt2REPQohZmxlr4wLhN9Rg6/Ypo7AQz
lZMPpxDOQ/QEYu2bZ5V/GZm+V/pTLZmhVQmYEZL9bOO3eUmX1nBn8u8ajvrGSd0IbUXNeeggoHhY
tGxvzOftA82aDQbAXDrqJAibNQ+1j+RBA2cJ2lmIDnlgvntRL6c2rP6+v73KpWGMapCkH9qmSE2e
iKGpqWVALFafkHAuD6ML0dcg5vxdZZjRzulR9BqwRp7uUdmEWXobPVtmO08VNCr4bTmaFY2wRhci
pZY6mAfTT+qHXIvE0Vgm+wOEZ92l8GP9iL60v/OAqHwtLxUdY7BQDGhJP/UqjDcZDu3pNjpE1G5I
ChrxR4+w19jIAZ8GVPcV9I7W75hVn2dZ3PVky5/x5Fu7eTbkKIMjmjq0vU8hue3M3ybHyh96yiT/
WIOm/ess8CzkkOa/mG44XOZJG/eKcsoTxnSDhMbBuLBF4oqks+Y1qqk7+tlwLaos/oLC4O8R2n/n
+ydMaUmWF6BP80AzbDwVCFWqASHhSNF71m/hArPzYGvdw0qBY2dvVaYI6uUNpdxIt/x2axtdRIum
Y8pc7OWaQCcA5T9Cb0uS773USlPS+zIkSqC+xdVHtWZ3U4JXSsnCjjHI6r/WLEuDUIzJP/c3UB7E
28o0EAba1cQeDL5A9Xu7qjzvvXaFoz0AK9X+bQ4J74sd70FBFY4AWh2mXRkHlTNKm71rV6M3Bnry
QTrF7UkMrfvFm9vxSRPmb/0QLTuLUuwfdFBykhdAGhXbjTkzn+bR0Gw7yJcaQFgm0J4D4/u3Vg0w
t9zfQKUtQCAM9GLyDSEUgNPJLsqEYwEOBMyy6T72jv3N8tfs831LileZ95j0jQRdTiZuPhXSrNCo
ucRS+VBb9nlwrOgjmproTEA521pwFHsJY4u+9gi2d9o5/SrPYjOeLauyfEaaubcHpXMys+4WYoJJ
d9PzlNrt+y7p7UDztP5TnuVQKrgpYowRfumxTEdI/ys4zu5vgWqz5aXgFMGbRH/19kfMVbh47Uy0
3Gt2j7yCmdRotQMyYQqh7nZ8i+rQSq7V/1X3qJPeGqMxbU56WJDqZAjwRim9hcPkTP25HcYxC5y1
0ZZfOEyvTcoj8OrZmONl9PqlcwLfHvuHzijmU2/E3ofQSPboMZWnCYQf/LUuuel2LtOaKz3OG9JF
BLAhUyXdai4zOCX0xjxXQ+9UZJ/D2W3/0MRk7IRdKtswGXiyQSQf7M0y6XBMVYPDCKoiMZ58H7aU
yDSQixGtdaK2OZ2GqPg7iep855Oqzg+Hh6eJPivVNX+zv2u/jtRnbWRQXf3iJgjmjLllX6p5WU8/
f1QBlgMN+wFJFhsfVNqwnqyCcrSo+n9LN3NeCpF3F4Avzs6iVOfUNiiuE6r7EMduciyN2jYMeJUI
CpxrMHaj/TLOLSjGRZeMO+63+wtTBVlMyNDoB+dN63Zb4JkZHU5zOSHjNWGMhk9bP8RNigRpaJbf
fIq1nxZQeoFWAThLtMn5WCy0jjOEOXe6qoryD+hb3KEs+cvFb9xB4o/mIFriSxT/ooPWastTXTG+
vrbGl7pea0rzInnX2G30UIYMdfp6oXPIRE2NM4MhLEL22EDP4Hh/h6Rj2LypuEjQCICQGK7bAtHC
ynGGcOL5RoduOjMk4ga6HlmHLiJmGGfAaVBQ7lFwKx7yG6Mbb1Xn0B6G1HglVmc8Vq7ZXUImz3ee
AdVZk1M8FtJShJjbCmIR+mEyTYkIktr8Y3DRTl175gQcPX0yQr38eH8j5XXcbiT1ClkJxyDlndvr
umjmBETOEIEeVsZBTyLz0KI/+5wYY3GN9HqWkh36wYqp/U1hkbzcN6/yFo7DAWBmCKzHdhjY8dPR
ZX6GqawECsuwS7rDgKDvESnp8vIrphiDYGScuGWbL6wwfXW2HNKtK+ToIFMvT2T8zYfUQIX2vinl
JwRVQsXJ/4HLvN1UJ8zqAs5RetlTQkOnjMwPzTAZAUR90EfV6DPet6fcxVf2NgcT+sa6m2CoR11d
Q8AT9MmRFG49+eiy7JhSLo3OuaRdouO4zX48b0nmjoJeEEEC8o46RT6jolpLweyyGd87dvLT1KNw
HVBMA4mHGwIyIxf/6sEWBQW7uKfkD7bbPRZDYh6aEKUWPw1/Gkq9MSUX/8pU0/lo2SN6FjCOKA6J
MQxB15TjThVZdeUoMNF9p4pMVUS6mVdWum40WuQM3cDS/E7SzCPvk4WG/5ibkX5xYgLAvPaR0E3W
+m/Tn7t15xsqf4AchpR1XphIN69ZF4ZLB7m9CCAS8RDBzRi4sMbR/15UtoYcBPddWKN21rQoDwwv
2SMGUB1XJDhohvGUwsmzeVMqG15kAjzp4YZyQUKrLqaDF3vW7/OapOHOU6FcrUQasduwWWyHI4GO
5qUTYs3sjBkh5mn4sEKtGcQ9pFUiSQqoGtGbc2tDvF+dea9XowrE6BRQ6qZvRUFoc6ZoBxql1HIG
gRgX6UGfyi+Dnmq/G07Yn82Jj5uNdX9si67bcXjKfELS/VP5Inli/vz2oM1uN+itFNbyjWH9Z7Tn
/kwhvrp61eijizyzaK1q0QMSHrOpQD6optR73QzVoylFDvjSfHOxBQZZWgcwfqG5TA3rQ5OH8GNG
KHbuyZmo/BItTzhfJakF8NLbteYpXCGpzjy6o3f/2XlnnOMaabY5t/sTlYo9zL1yVT8eEsYj6dVs
j3CZe0nYMx3Z2W16XGc6T2Jd9kovqqMrIwBqbQC7CQZvF6VFSGrNA4lvY0azddT6dnnf5vBcnhfI
0BI07JD7O3HR4VslRTaQVnPz+RemGXmemXenSQMFEJQetz8DUmBkTwwqbci0Rn/pvDTInE3lo1a5
yE9Hs4vQyFCfda+yDnaRV1erHsKdWXjV9339G7ZOU0+bJOuY3kwWOs3aGrdPRleY12xAy1RnIP56
/0lVfWA8lAukDZzSG7SyGGZbuBElY7uqpmvl9ObVR6Tg9/tWVJ6QUgNcvsBssLO5oVNM1ZKGoxNM
qG38E/aNXRy8Ih+Tgz+G495ci8oVebasxYOygdVos4fG4PZLiXBroFlpC8oUtbvHOkHZ7ejFFjJM
vZEAKyhFn0aHHgLpvYqtcrXEDdCT4gzgMLw9R3Y7jbnWtZQWnMk710W3XFdmloAzzNNO3iI3bhvW
ciwlnAheDCbKbk1l0yLKld5NsDp6ER2MrPePrraUQc8s5ymBmTXIlmIPQ6G0+qMzbNJfeXNomhLS
okJ2bjORVw+VyD5VoM4uOqQM77QJ+sAy4qb+/BGiCEch+MeAybb9Xdkkoz+KY3E1D+/bSF8/G2PS
X0Gc7jpZ1aWQAS1ldwsF1a3uD7XNeYpcGMfyFmXMClqd95NRRTtXT3VMZcbGLJQkl92uaMxbe4BQ
2AniyrT+c8qunIIW8vnLkpR2AK4weezhXmNcKJ92kCmqE4qrZcie/7h4m8faHiIzdgC+BfMQI7ce
5+YhZDceozbaox9RmwLCQAQEx9aWbMo3Gub2IsrAcMkVp8Xt/+7mcDxBjNDvBEAKS+STyEbB3c9L
vHUy7TSjKZUx7+kOiX2EKyZ8HCcPFWJbDNblp08jvOt0v0ECUzzcupguMsYZLRAR9EuUBL1taJC0
esv7OCO7vG9K8SJgihknjgh9ti0WV9gAoqyUGklUDdr3FLUH9GzN+OvQNi5DtcXegKriMabdJf0n
nLeEVfLYvgrbXWPKEl3gUozKK7UPU6Hpn+oQmrRDPnX19Jgmde6hVNraoBZXNz9o87T8dX/Nigv4
QxqJSjjTIWRgt7/ByyOLYJnKz2CL9PPoD+upA6b5/b4V1YGhsA+8k8IKLYXNe9+uZK9wIBLcGCEq
ef2U/NMMiICGhCE7uZDKFDgh6g7kyviwzabmld8hPjjbKM3H7dXyGvFSRkQ2Qt9ld1Oa4kVAA5OZ
Q5qlt3u36FSXZwBiyDDXK5qZYfyQDUC5BzdKdoIVxWeSfQofynguAtNTt6aEaAfgpOgKjVYyn+Mk
dy+JS1Xj/mdSXACCMVw/HSzJ+rNJ4+zBY6REvjakyP3JMIf6T2+cin98rfvmmUn/7b45xf5JTg6p
nA2chPjhdlGt5+ZhRWkVZpOu/oBWEjy8/jCdTGPaC1RU+wfliGxloZllbMeQeHx6x1hpLiWtaVwR
+x5OTZTZO/untmKDzPWJSchHbxcUNllf08K1iQSq8kpIYj55IOeuv7BtvIyMeAA5IA28tZL5PWpr
Df2UCJW1M9K+K9n9qL8f3fTvn7cE8AUnz/MMOf5mPaXeVj2sM1TeO9t+1svFvM5LnBwzQYfzvimF
LxQQ+sFLADM6SdfGVFGW9HI6IsnSyBFFjmrrYIRafNVi9y9Ly2P7gJ6Kfm2HGXphpyOevW9fdRZh
FwRgiS+WrenbTSXGAnhVEp2DA9YvQDg/V3ZF6TK21uWP+6ZUpwQbSLACFKJ6uCmQ6mGZFQWUAYHd
tJ0km1+glmh8M99ZkmpLX9sxb5eU1ebUAITjNi/d8MVF3vJhXbwGhGOanxt37S9jUTunWKtC1Ji7
PWkP5Y7KXIcJZerOW2fSp7WY+g6fv05l/mSiY/G7q6/LwQmNT/c3VGXJlsyQRHZggLd0dfO60jVJ
TBpwQ5ZdkcL1f4s7snRIc8XOniricdYDTQixpBz9k9/21ZM9+7NX5R29Phgn8n/9wdYfnV7P/o4Y
aHiE3ax4dmZr/IULT1OC/q1Pg8LZNsA6xiTyFDrNYEkz6xD3NEXGMuyvPpMGwf2tlC53k+XI90VW
ViB+5Ihu1mcZdbtaICWbfiaZycKhvyRVlb+LkQo/t71Tv8AYr/3n69leWUf1+PC60RhiqAro8cZ0
a5r1qMUxvc3MBMpY0fAp3TU78EZYp04v253AUrVUwjxqGRKEBrr4dqlaIvpFEJwztG86DyPMPgdz
DtugtKJO9hbNQ9WX7SmJ++F0f5NVDgBwI10QydMG/+6t5RE8QrNy9QLsNUd/nuPioPtls+O9VWaI
ZWWtjoLbGzavprDTpKhl3z0r7L8r9BUudW4sO5GJ6kYQMkhOVroTrOh2MW0MkCQK4SNb7ealKjLn
UneFdnFrrWRa26mPaahVOxdCuTKeI84pZD1vpLX62upMO2FldAXzYDJBn4+r/+/9r6RaGI8RfG9w
vFOP236lSot9Okmwypg6LZdq6g+QdHZH4vPukORFfRiqZNjxL4qVycdPTvsCvH9D4AvxtV7piwb8
wRmG8eCmev2unZN5ZypbbUaOExPyM1G4WVsSR0hH59Tr0SbQvteLk382anevm660QteYuW/cCTML
t0cjLiyaEhnIfbcW2lVE2pIemmGwd06g4p2Dx1uq9VFVY5xssxi7GCs9HWjDOW5qP5eG9i2Eyxfa
eusxZyLrQ9+OX/UZfQdz9PbqM4qnB05HekmSth4qws0SjZqhiCKMJPla5L8ruwZGWTsT86E1Ztvd
ORxKY9DxSlwXb9C2s9rAVt3aiWzzFIv/ooe9ezKdgnaxPtTVfLp//JXG2E2+HkhdIsDbjzd2UbQw
Y+kGVVN/xzk2v6M9itjBmuyhi1THBDQr6yGgZVBoY8nutBJqhJB+RtG0ZzhJpvWwoNm119NUMOUx
QkuRSQJ1cRxbsEU+6dTuGj6W3sJYWS9m/DTWZXdKFne85hX4vSCfVitoRILG4jxG5ssIQf85oTYf
HdspbwBDCli8g/tbrTzAzBJTSEHqhZLC7VYbMP5r6wDCx+Rp/Zq18fBIilwPh2YewjP74flQ08BF
d2gsPUuOIivqZif+Vn1uSoxM2chKLnD3299QpQ1w96xl3IJE4D3Q/uEpbcV8bidzN9ZWeFbm8OFN
YS6Tutg21jYSJxwsChpUbWPvoeor7bI4Q3sUHLk/YQucj2aUdL9wnsnR5RAakfwbrg09FZ2rFQwV
Zp1Y/jAnlGt9Ix++FiQ0v3BPqUdTgfPQbmNU6nYvW4acc9ijcQom7NyH0Azd/zIzL8rL0LS6fb5/
elTXB4JeAK1SQIdhhFtrI5IZaRRxemKGs7OX3Kthq7Ybd/kFmAYJJ1wMDBBxQLYeYYD+RSODAiO2
1h/c1vD+aaD3+e/+auSv3QSgqJyBU4J7UNafN6uJeuG3YYiP06kFv4PK3ngJgQMe48QcEA6fk70s
SXXwbeqKsv5ArWbLc4V+c+QzNAj5gd+Ks1UwRpdm/XAeynCPflxpihIOgTUNUOoDt1+K1vRooKQB
gltDdKzrrezajs14qrx4b5pJ5VJoUP+/qc11tlrbrdrGh9TNAp/QC/oUYu6/9Khpwug8+4dpNdZT
bLf9oUjdeqdXojqSDOvBhcY8IA53k0xXfeqYDu2uwO5s52MG4uRcTEW/EwWqtpNcjFCJ0iWfULqZ
17lYTg49pcxWZEvUXpdwQXadEcUn6MSn8/1TqXw6ABVLEN2PlHbz6dKoYma+iZgqaozQeWhzstij
qY+tf9Ag5YR2tYnwz3NE+fhZrBHKKUhrVM1BLML4wkT/fDHLZvp36m2t2vlxqt0G084wALgmMqjN
t+4AMeWGJev+dlF/XipmPBjy/YWhGUTmKaEx6iTzQ+t2t6O4Dr3MADk/tEZ4cu3u70pvtGtkrL/i
PiUkksCRCSTK47eWiMhnZzIZjYR/GCkLUbQQHOS6gTBpRg1phxFAeYoo1RkGxFpkZfLvX50icyzn
2sgk7ZzTxF99yoTXNNfNT1mYi53StOrdk3QnVA4gIIBa9daUDq4i7gs5JQOS9GSS8QalN1GfNpfo
MLnT/KiJWPt8/+jK/+nWoUqaJ4grpdjftiZpLGVsA6ThLrZ9/DQ7tXvAtdblofE7Pai7cW8qTmmQ
aITE6ceIyGZDQwQWvKKa4bRDTB0CEMP/1rgAe8bOiv+MK2uvQaTc1R/Mx5wMafd2VyHI0fxFp8MW
IWD4nFu989nQiuE8rlYO50mT6Mce0ru9aFJ5616Z3XgEB2Rrj2YTHnbSzWOb5DWNsHoP1KfeTN4m
xl1oamzr/oUlNDOWRA4liQYZp2OgX+vAMX0E2oLEGbkh/Of3T4zqRki2bONHzoZHud3QrM26kSkf
WpaxLZ67pbBO0WS77zPPS3aiTtUmMgsKLIBAid7sxlSkIzAy034KnCHJ4kOhM8d1gCthN09THRLq
WoguEb8CBtoYWug2lUYBvr0bK1Q+KtGv59CYmvo0myVC67nvnfyh6f+6v5WqZ9hlBpaQhoEpMtTb
rRyY6YkycqsgBspySb2+/3ttU2Yx4sR651iaOAvmJo5wyrfgXm1/x+Gopr7pOuPbwGVSL3mTgVe5
Ma1M4NBhbKC1A2BTvTgxUn0HVNaNNmjXcXrq7RpVdHuYGLycGI2fDvXg2dCEeE2116NWfQeG0HFH
MshDZu52Q2DK5uPmMtqqcuuJee7oTMqcBX6vl+lhdRsjgBWo2tkHpVVmN/gHD8iQ6a1VUPbjNPQE
lamly4piZX1Pszl9B4Hj+lwllN+AV+5Riyo3n3dFUt3pEti4+fh0olCVglMviJn4OsPS1h27so1f
YH9xjzGzw198ZvSeSh47dCB0QawQJn96HfRb90+h6pZJ+BEngZErexsgmG4sRlR22PQxDi/kClDU
6dZeBqm2AvQeDmHKqVukkzbnjO4OpPFiWtMHy5zyJ5E62o5zkm51+5xJQhvOEA1zZjpuP+WcapbV
yvzAn/KOqosQl3TO5suUmutDP7jVoQqhvhdprV/u76KC5Uq2yAFRkZswordNW93BgIm2zjysZsOL
6Wn6McyL5Q/44KfhpIH2Hi5ZZpn1YXS86Qll0wwON/nBi9l5sRsj3Ru7VW4GHQ9IznSoMbcEhFXY
QOvQuS6xS7h8s2bdTBj28lBoMWuobR9tI4IDp7XsJyhJ9ziGVE8TeSClUarY9PY3VxmlYMOKVql1
EBZD+qzVXR7Epal9iOysGb/ocWTvrVd1j2VWYepUcKRc5O3HJ7ZKnG5ivVMY+s57s3fdjyZ6hfpH
c27Ml2zp21PnNNZOOqNYKQP+OCyGbiVAV578VyEi7nFJwZTBnO4a6Yfc5Poaa1H827Xan6szljvm
FI8Gagako+hjGJIZ+NbcklVZQwGKczZY4iVfWgSFAJZ+FWFpLcdl9O13MNYYn/xSasSv2h6/tGq5
lGZ+AA045lueziVvI83MbU+2YsP6oI3QFhwyCqhf13bwZUjlrf/u3C2ZEW6uNdk3FBeS3sx5c7fa
YoFwpe3dYO7q+I+uGc2LO2XRC+gb8W+SDcVhEX1dHRJH+2YtVh9AzW/uuEnFbeI3MIwDmS/T3dtu
dydS1BXmhYqnW66XVtRwC4BHu4arWxyEAHoHGt0tzllbpDteTRFykb7R0wc3Q5K1ZcAYCkcwKI3p
pUiW35q+9v4Aueo9GKvv/bez1fK0vtlqZqfpaMh+zXZAprAoecSQmwSjX6fPhAH+dxft1fnoxyYS
s2FqmBXRQNY+u1Ok1YdFL3XznET8vkOpp111SmgqQajYFTGurjXrvQ+h/oWcBEoHPJzbzrHQhrgY
sgQa3tBdciRv+uKJ6rF1vb8TKjOUy+RECP+iVXB7zxqnKvQq4cwZYRxXwZJUTMs1+Zr/ft+O6j6x
20x4MV1AmrmJPpyhSnvfgpeMca8sOhpD2nzSOzM89CQr8LpEv923p1wX0BYYHJC1xl/ersuwsnLx
PILqxFvKv5g20P91xbA366JclRx8YtiYNW3Zr7u6tPXFhcWpWNfp2a5Seh5QcAeN5vYfoavYuyIK
3w83gc29pMzB2MTG91cePb80nd2gngYtP+pwbpRny4n76BivQxFdKoPh9RNi0PGf9/dTaZk6Nfms
K//YPHSi9pzF78gdPC1LPy12GH3ireBgmrXg3S8MKoaVtgT3rapeAfo8kjqGPuCbYuHYEIRrKUF7
PfrWwGDU2r2vMzP6AIAP1K2RWlpzThIr/h63iR8fab0uv1CJgZaasQNJw8t822bPxWqUEH1TM7c7
o6HZpJfRF7/M/OVgz80eqkZ1oChjMQLEpCwiCptr0vnOQBBHeNXncXZGbzM7hGJpnsoo/LaS0O/s
r+qrwu5FoZnQie7T5pX1rGkyaep6YFytpzW02ms56B+cpWwu/sLQejs0e/OeapPkutABkA9sgSth
romCAiHaQdCLMd80NaDhe2+BpXH1v1YiLd6hkOTsTCCrrEpWIEYq2Fbu6q07MHMP2bdYp7tkUZ4o
tFg7aU7UP0Rr6n8TqJkc0YXaJXVRfc1XVrfBsoBSGDIzuhLa0ukvPgxg57nQl69Ladf6kdBnMg/D
YFLHEIl41szBPjfwNgZGP60CYiamHEWsW5/Zxu73KK2WZ0QE+pf7d0zlKeHWkkpHyAHy5t9ujaUt
UVfRhAjiOVovlV+Gz90w15f7VlSPO7zd8jJ7PDXbxKhdQj1z6AEFKCAwwVyU9lHPhB4Qw/XnnzcF
GoMKI+016uLyq7yKVA0dlSa/J1I1/BExaS21DykVsAvkU8nO/VHtHSMKctIRQtM3yhmFIEgrM4+R
3jTPzshRaefcdMedw6vaOwnA+jG4yQSB/BWvFjSnGYLYlqyyFct3BvKiq9muX6kF742UqAyRThJV
mVJieKuyV+vGUOcN02paS+MszKzpaJfwOWUR0f5PfyREikAj0LIjbdq2uMo1S/NRjjpWgELfwYif
nUzmzo9AFdudkFaxKmI8whu2kMxly2dgm5kNhp3h+TVJQnjph+xcUVr/tsIf/wumyMiZiaMJQZtg
86WiEdaACSAvUY5bXyjsxyc3gdWgS429iq+qG0P+J3E4cnYFIpzbU0EeFBtZWrtBnurVxTAb7Zgg
L3laxmg4lNSYj3PmNqfOG5dDuETA6QqjucTrXB5ifVgeutLJdyZqFP6OhhcqppICnObv5jlZvDJv
zZLl60PSBL0YQWBVBvGxKZKjMw17lLNKe3CA0CMVgKO3wStPNgJpDeMZ8aRpzI8aznpa2tn6Y7FC
6xrGrbkTxaqOkk+NwUbNHJT2ViBj6CxoD0eiIG2qp+9pWkUPE5HAaSr8Zmeg50eHZ5OiUESyZVHY
kJnwZjOzKQ8Z2uPJ0oxqFMeqZ2ufNaPtYOGit/4RuWjxX2J27RBouNPwsBJZw/YCZ1UDXjCdx8Pi
kDAG6KUAPZ46t/6NWNhwT/HaFvqhc/z1pZ6YcTzWqzl+TkFBlIc1ykG4g9eJ20NOLB8fC1srn9Nc
Mo7o+tCbhyhCJuTfyph154Ci/SDOMUF9BOC2GanpNU37MV/r4bs5t7l26GsBjdmylHpz1Nu+Wo5W
3GQfp7Ua6gtUepZ+SuvO1ALRFu3vaWo6/6xNJX6Li8j/rY3Ddg066Mb2egpvI0vZwzPIVZmH4E8Z
MLzyqfYA+YhjjIwneGb9V9csKOYkTn9pHKe8+C68nLVPdNunocFzqH+67/3eHlxpndeJEEgSrWye
qAHJo7DO5N3twug9ug19dyAddd4LZ+zs4xSb3r+/YJHJIkTAYC/mBb5db7ZwbgwX0LKHQ34WTIEc
F2FVL4Yb16eu7r0dT/g24KLOSqICeywrpahxa6/yndhcRtp8PfpucJjE/dkyvf5YoQ1ABm0s5xTc
1M62vr2eGKVDBMM48F7GNG6N+lkaFRZeLxCdyP/o18SkFjk6zyGTwztvsvTkt7cTU/D/UHikmMzk
562pKB20aQnJL2Mu47FItPBDlOrOTs1edU5eW5G/4tUpTRZrTkpB9bxeNfcxb8rhyc2s/BiPupMe
LPiPfuWz0YNinA+gDc/mrcHQM3JtwsOTwfb9qTLX/Mhg+XzJ05Z5T1CuDylKlD8dC7CXcghTDr/J
HtGtUdCblgOkh75UH3e/CTsJD0M4Fi9TswtOUZ0QqMDAWEBJSjVik8xVzdB3msO1H+wSthJ7bI5w
SYoD7DB7rMaqG4BSsiRGgUmJp/p2VWQWkviCAa+oRzO5HB3/SFMu/AxFe/1erJNzEF6xB21XHZgf
qHKqpnQHtmFVsjZWu5psZcLw4HSZjaT9OOaeeYIroOmPjVXCR3DfsyjXKVlEeBVh5PI2nlSHz6Pv
PAYKmyYxH1CAHQOwis1TsQD6sRDguMBLUF1+xSgpuQToUivdXD+79xI4kBh76XK9Arzffx184u5Y
0/qjtmTTMSuNvYVu9xbUswTGENqB9MZtb84OJDMgFLNsPVGJLYMui5AvD8v4WBf1HJiFv+6U5rZP
1A97BK1AAfCfxK63ByjMOl9fxmQ9TVnffpQ9p0uaTcPXLFyaR2YHvUudRvpHv6nC4/9xdl27ktvK
9osEKIdXhe7dO0yOfhEmmUqUSJEUJX39XZyDC0yrhRbGNmA/jGE2g4rFqhVch0Pj5/4a780XU8bt
aBR3bqJpxBQ6GeGM+UbVP1Ezzm9r0MrT0NcX6lX61/3R9maLIg/8MBG/ASberC7D03St0FwqSOnC
62jh1WPDers/MbHw97bFwMVzlvFrqebuWc6x+8/98Xdnix4x+LWgxiGDv15tWP9Z0yimtUCBIob0
RNDmfiW7l1A5Tmot6oiieSMjYrYXgoDQI0MhD21584P+iO0aNotT6YMz2creeVj1Gv00j7KzUNIp
/IXq3GKWW6iF20++01bvK2DWDrKCbTjEb8C3EwEQAJlbwFA3F+aMrobAJq+F3yVLrgGjyJqg6bIG
HKXi/vruDoWThPcBEFqo219Pd9WEugOaJgW0UdQrv+rsk+xt9nGa+yOe485Q+FzwkeJ9iY7zFs24
yjqIhYDdB2CN4bvQo3ga6LZ5oq11sH7b2If1Q8UEilS4S4Ar2trGTqSxAN8gduF2YZVb9gr9v3mx
vhOk9a8aSE16ae9TcZAV7M0vxCMdqSn+wrV5vZQeKqBuD7uxIhJ2lJVQoUlLdEEvvDn0Hdw7pUAU
4bsAegKcxO0MS4kpBo61FlNi2B5zNC8oDDThA0Xj4+vitd2PNV4iiPEG7slZWWxDDAeKjAexaGeh
jR6qoeUCI3PD1YDzh4pHadmFbPUni/jWY4AaGkRZ++VUrRMaNBKcrYNBd9YZ+aspIkEIEXwU8+d/
fKErDTrX7ohT4HninB1CrFMVzPW7GS/fg/tsJ/rhMYU+AiADqP1uKXW0R+XdCVunKB0eFzH+cY4d
iE7X1F0K7jH1nMSQSIQRR58Pam4PHu63MzXCGmANwtHcxIHNx+lZw2xbQe8UI7xN8pmS6gtJujFf
yLpe7seB2zhr2M54dBlXCdQtNmGvpmMzwkPEKSjgSFlEO/WobHd9ZCxhqTcK+fH+eLcr69gwKAAm
HPHAcFSuNzGOR7AJIZRezOCBpaOtpwcRyR+eYu2bwBnYkyUS59HGTqcr67v8/ug7C2vkLZFtgouP
cvfmVnPLriSDP+kCyvD9k1VX/9KAkzeRaO3T/ZF25onsBGpUqHI4poVwPc8lVEu8xAhF8+jOxZC4
7TuI7y8XEvQoeC9SPA0EzpaW2wy53+jkoFzxm5/x54MIDTDEWoiz4KQCs7rFpCiOzrzop6UIW7fy
zl5YtnaKF58L0fKQVC8CxYgkg02X+yNmjtAn0xJsstqWzdsOTyf6eoQbZ5NWLklYJoMafj6GbbI8
SeTq7EmFVKKGBbGq+tKJphxTzmNUutpIleeO6p4dbN1tyEFzAh1itLEwN3QrrhcU3XHuEDng6y/j
4eyP8Vw4zDaLh7pJR1iNaFgO4a/727g/Kr5A18gp3hga0bGDprWNUWuq3DNYdvosFzW/SpZe/jvO
eLbTqa++3R9055QCaxwbzU8oaaMwcT3VUFt9ssBNoQi6UqYw1PAuUdDPxSzi8OCY7g4VoZUWQ3bQ
RuXyeijg+7wxlJFd1IL5ZwYEdIYYbGXQkaQHG2iC1vZEInvGmwTjAJuzGQpCy7QfqtYuaBi3mVc3
yzks4zq1rTh8nZSJVYT1+IT6/Vj8/XIin0N2B5wd0AWbrErDRW1hwP0V9gw6YehiN50qgqmbE5CD
z27nfsbXhgvaXFHo32w9GBgiOsAzDTIQkGougNd9XdZkPNEevY7WnvmDHOX4OHtAxaf92PAMeEt5
MN+dkI4vHq93YOLxLtqG2DoiIWiUI46PDY/rRlH1WE9N9WMEJOx54BB3ObiYdwY0KipGyBcAIYDk
rw+RFxPiepwvhfLn4QMZGlS4CekvNZzgCgtP0IPxbj9Kw2xEQwmZC3qlW6+NNkQ9Dp13u4jDmjxZ
fawAZ/NKyDFUoTgN3Tx9WETkfrh/jG7PL5IdY5YXIe9B59JE/D/SD19JL64GLKsC4CgzhS040Fv9
p6of+yeQSr73gwGeBdZBQ/D2E0UsQJcJi4vtxPPzelyvRVK3jLgx3UAkb1vZokHb1t1j3XbVwSe6
s7BXQ20+UTIrv2kHRIMkbigAbVCp7EgQv7ZHT5/WkrHM8VZ5kIHszg8wIxtsbSMotoGG2AP8UCuG
3XQGv/kC5DX9GQW4T3RFk4Mv43YovCcR5IwuHLjM2+xZs5AEUixjoZD3ZQsKRS+rW73zWWT9dVwF
PgLHBchufIZQNrzeNAho1KEYV0D/yrHLKJQ5T4OI/TSqLevd/XN5m2kYKAZiDb55I2uxuS1YDUlE
8NYwVOSqC9OTTK1opCdnblAMwXlMlx7meNDMAfl9+XujVWgN2T40a1H5AQwGbLzrqWpF1wGW1qKw
15pfZD+Hn6op8lIUi5xXgyv7DEmSeOg7pt7iEl1PEkTKfALcoMvIjI7HQXTY22Rg2x2T1xpY9yYa
xRB2HksopBeUrRqCLdT+iOYIul5OfGTKdvu9xA7uTTxpERRQMt0c3RAO0NRby74ggddnELL8qUOW
PDaTFMUweeu7apFHaPXbMGTGRGZp8leTX14vt91FJe+Q3BWtVRJjA+2moTUtL0vbqbw2ToB8WdxT
IqojR9nbMA8dDMjsY7dBbUMD93rkFRhHQnt3KIauCpC5Os6FNfF8thS8EFckSm/vH+y91cXzErEe
KYPBuV6P1zV9OUjHH4qA6rio7ajNIAVWF/Eq/IdmbD+jmnnUct+bI4qKIJcbSUwE3usxWyTtSPns
oSiH2c2aiFfAGVX4mOy5ycgQh38d/PDl/DHeJk7oIBLJUDtDMfusTl3Oopdhkf3Zjll4kJvsTg1F
Lng04OLE2+B6aoPVClYKPRQ+96cUop8oIvTMet1CLAPqxMnfV/AwNTx/IMqLRAR0oevxlkF0Fd4o
WMq5JQ9xO/ya2gEuxCOkKUcVJAcrufdd/EYVwAoCefM24go3HL02Vn0BobPgE0HHP0uius4HeH/l
gjvRSyDGNmsbjx7cKmYi14ktmnTQ6MdkIPCG1sL1RH3wnLsOlJ2iKivxGtz05TmkU3tQZboBGCDO
/jEMECHXwxDGvMVZgr5AW7+GmrMkueeP4jkuydsS1sSPVUSrogJIOhsJeFlVg9X2tdLP8JGTSOtn
/4CmuHei0B9C6ofeG6T1Nzs8xgxvbRlBYX5ddMEbyYtVwMzc5qs+xZU8qlnujpcgRQAx2pRKNydY
qBBWpiDlFKMbtz+pPUVfmOtqO5sWQdu0qofpx/0QtD8iHi24wU1hcROCwkZIPNOxtTMXfjqitleo
uuQnx18IoOjxEZ195+6CyFBgymqQDcEz93qP5eID/xv6feHQ2M1hghxn8Zr0F8a4PDhPe9HVlElx
maBZBL7V9VCxGmYIkcTYvLhKXny96Jz3Q/S+FFQ/Q/4LMW9RAL/dX9CdUaG7hbYUlFWNmNNmQScU
I6N58oYCKrniMsyT9UAnwGUHJPyZGkIna9CtOhjUfICbD9ToWECn8HeHaqv02ACd26xJxwvpRBMq
Gn750vb+z2DyVA4bFf1YBS75bVTzJLTTHXwlO1OGkBMKTrhN8KLfqlkKqBGt2oOUmaNLlfUcvAGd
EAiiu1P7IQpHJ6t998jo8YbohVsaKkQoAnlGw/ZmofselbXQY3EOoDALC3RSVsgC8yn4jtzYvxDp
lUtBYR33ms7ADT8tjSy/JAOpWT6HlnVw92zXwPwaEx0hLwUIIIzcrg/b4qPdSVs3Nh6Ty6URShXr
yJsikKNAPw0qpuVAj2hZ27iMQZF7wxEVlRtAArbyIVCDtYKq7co8qqr+E1a7/7yMh8zw7eH6PQoA
SEDsooR6A9JzygQ1sImWEMCh3rNrWf5XmiQiLz2iLvM4dSfhsSCVdT089VN8EKC2AcOMjoqmqRH7
RnfALPwfj1JPqQDW8H6SE8XW56r3Hj1iT49Mo1h9/8vdGwkZEeo2ACIYQsz1SPM4eBqiFMB+49Wj
06BHSSoFHZN/tfu1P4Bz7A4GLI4hT/8mOW0G40mg19UFvD1YW5H5ZThmGp3RJvPcdflwf2Z758TQ
b/9/sM39LZJVLZYConyUjAHyHI/nCDCZ838YxbwG0RxBWrRtKfTh4jnlZBC3YNac3FoED1Uso3f3
R9ldOABC0KHGPYHzf71wkWbwVwVuPofMIX1bavIReDh1WuDIezCfm1KXOXpGHBPYHjxAb1pRULqI
3IZ5ILACpYqCqNf9w/0+yXCJqCc2Vk7GS6hmQ4ZWnL1xit8gUfpb9Prv3/AbzwFsE2qmm4xAM07r
WACfD73I+nF2Wye1HR5eIGy95A6x1kdL+vrg5twmBRgU2RcIHwCwI6RvCdQybPzKrhsEs5CpnNqj
0FnTI5KWpTueLTxpDzZ1b0Ck0Ka5iMIpVBquNxW0lrJuofqEDnQJvhMHtRTL7ebxGlqPTnPoObpz
iDAaYFQQAkWqtZVnmEjHGuUnEA2WzvAQMTo9Vv4SniJk7QdruTsUbihUfxBa4Lx5PbW+nLqk13Gc
l67uc8djdspRjj5xHyy/v/40UA81gt2GZwao5vVQYg7xCugmzKrh+lIx8p2BDPDWEXgI3R9p50oA
sRlKN1CTglrQNsmRjTU58H6BgsDYhW+XyR0/ox9cg8wW9B/wjA2f+nIlmU10iZq3JgfD760pLJ5x
HwHSCDT3JgaU48IB2wZSlaKydnLEyM86bkU+LvP3+xPdiZwopqEEi7oTNOy3IJEK3kTRPCOmJRT8
Zu5byVe3TdjBZbB3/AFFwzcHSq9BF11vHAv7MBghyZLLUdP3cqTVpSbNlPlCxQ8OWnfZ/VntbR9Q
oKZLAV411Duux1MwGI3WAI3XTkzqvDBi/aRL2L21nd5v4OBTiXM4xf1LGSr+uY8EObJduXnqmQhj
9DEN3xUf4E2pudZJiEJvkoOCb5OTDsYyK7nqvgNabn8cK9afGodokUsW+jMMbYQsYHaYvEc7l8L9
J6mjT3VCpv9wsCI8rWEcYN5DN0IJJRp8sl8TaL6u3gn8mSWNPSgPcXQEDz7WnYTRiHqBWWd0v2/A
Tj6x4waqFEm+cmgPINKx5O1SqdhJAxKoV6wRXqF4cHSgd1cecCfgnE3rH4iO671HnPViAdJ13g1V
/bHhbvUA0Sr2mlckPONlNOjUm13jlc5skhI76D/WEm7tQP1PK8q7thq+2wEtjzA0O+uBDw1FTeCD
cPtsqxsd8TulSp7k8egMqcS6PawCA1YLCp3MkUOdjnB1Pd3/EnYiCWIzHEZMgdNUca5XI2C8JS26
+TlYlSteC54sdBBMMBKe1/z+UDsfHYonQHeE8InB+Tc/5Y9EVgdAqzsUd5yurbGAzTZwD6FgIFe3
MpN4JlzCrv/oc9oVdIWW5f3RdwIZjhlolIhjeJhuO1gDEbIJkyrJAVj0HkZ4uOOtqKuDwLK3nDDx
hNiHUZfBu+B6jv4Url7Z4l4Fdf5bH/TkI8EZfIJN6hERaidkAnBlYIJGAxeJ2vVIvOZk7inWcAJy
LRs4FGwGqKtm0SqMlzdvHu6v3954IMrjAsdTE3TUzd1q15yOticSYFUkBVe9/SDgdn+2+NBnrOuO
Wsm/O3x/vuhxQGD3ajqAkOlH4WkzPzGRFps0Jrnqq/5UV/UESeZIZNx12eMirPWh4vGUjrCTTI3N
b1pDNPel83BsEy3CBxWEPyGw52ZziCI6vPf0wYLsbTXCR4RvBzuAvsz1BrgK2NQk6RLQKmsPx5mE
b0fqdymAi2Vxf+2PhtqsRYdbU9AeQ+nOppfGiSiadl79JoAUxcFHuvOZINdHygvaIPq92yhUkUo1
GsofOfdbcvbXHi3f1RoOPpOdw4Q3EpQjIT8Ata6togYB5FcyGIRC5dXCvvZrTNKICKdgvgZvScbh
v/dXcFs6NuEG+IffBTcbUIjNAxCd17UMQ2hWlXDa/ejEqEdFZfdisXr5sqD89wpiCzLt17o7mOnO
1iFLQ5nvN0IHtKLNKRlC6iY6wEyNg0EMrYM0QTP9lU84PahC7c7R6C1hQGMQaBb9j/haLQtKpy4p
8wmiO79AwIDaWmXZPYeKNG++LAFxX0WjVV5GLsfT/fXdnSYMhQ01DiiTLdnFmNt4ETRCkOQ37ie+
AGe0xEHZpckwHRGJ9sZC3DPgC2gfA8t7Pc+hibwlnENEhpi6KZxQ48embR/jFfSmv58VCi/mJYie
MlK165FgzDDjrclKyKDV3CpQ7gE0UU10UFnVTvVycEXtvbcBejA+IVD8MQpO1+PZQQ0j4rgqcz0N
KFcmNJBfQ7dRcPyK7dRaW1B6yvDTKnkHMxbqZ30v2MGB3QkA+A0GcgGKuinEX/+GqiQ+iGA95gzP
nM9QfuYfOd4XB1PdSXZQ3Ud7GMW739y+61FwcVpDOEQo3E3UboqYVgOYdWDYcOXkPsSFgpPlCOdv
fVERBlA0wRlFSQMZ51Z10XaHtq19u8xXZwy+BrYOPzSafPjrU3M1yGYXk6bqV+ZgkNkTJSgn+Njc
oSInyrX+9/5Qe8ksxjIcWyi3Q/hwE15aQcs28lQJEfKFPrZkTsZURbL76Lrt+s2xwvpxseb2zLXX
fCJuM2eA2LHqUcTjQFNpAww/TctwdIjMFDeXNxIFVE9QCAYmfNvksHTlKX91ylxVTnNGCXc+wSTP
GC+VPO34kaTK3mkyCmN4o5pO/fbVEi/OFMBiAMO5pCrbdATlSKUok63TBR2z+M08oVr1ChAKcZSn
7AQjAPiQuON7QeXmppvc+3MCpoaVx6UPYBKk79/XvOMwzWoX/+8zjt99ckiIG9zJtvJnWVGntSfh
1t45QyZabqMcXPNCO7S+3D9YextoWvL/P9QmCjgg18eD0BaktaiXd3OiTpAnnU6JpWTW45F2MN7e
MgZQOAPOBOIYwB9exwMn4aXmwWJBDoejU146/k+3nj9TR4Wf7s9s95MxpXSI6uLav8GYT1FFpONi
x5ZkWL6tHvRBU88evykOaeLZDd335tkOTd+uSiGcEV2geeKn3AY6VqCShDqkz/P7v2lvtQ3gFbU4
DzTVrXm4V0qriyzbykWUgMIF5uH0msOdLe2h73ABbVf9rTe7CYSRwfTgtYn3/hbosXSMW/YyWCiI
txKZdCS++2piBdywXq1JQP9DSES1AypEKOKimrTZ3lqVaCg4DdY87ulDQxX8ZGLwX2rjf31/LfdO
UgSWD75JoIhvmp5IydtWN4iIII2XH7tm+AIAS3JyIvJfziwwmCBHoAuHfGsTe52kWWkdzla+zm70
ZZmqt6M/6ryu3SPysvk/bcMp0BUA0wMVBOypmfMfmd0SVS1bEpyPdnZFzlpfpKU1H63c3ilEKRjU
JCxcfKMfjyfmiioPvkE/XMZzLLT+DHhgmVqdbE+kBWH6/k7tzgo1YVAwABqOti9yy47Uoo1Uo2oH
O5+jhr9VSwNA+v1hbg8EHjJAEwDSBDLXTV3FXqFW2EPSqAiqcPjcjQAQZ6xfhrdttTJxkD3tDIas
CUQoXEb41/ZMzNKdYbs5kGJ16Jp5MknOdlBG2RS5+iDdN8nn9aGARBncFwDOMHrrW7AIg9wAGBg+
vintRd/BXiPnnmlbpPCNVJcKON4HhwcqSNfAT+a09BZ98FXfbiB+gSHPgMPym9V2fSxheeJWmidW
7sy6e5oldR6bHqL59/fv9liaUQzF1nDbb3jt3iQX0YwdAfaGQIDKqulXyIp2TVFxZn2wnL528/sj
7m4i8lLIHxtMyLZQVS4MtkytJChDjcmlWesSWhDcLyr0OP76Ssfk/hjKTP6PL1stRA+JP5JiHNou
l0Evn1mJZ5NLwvLd/Vnt7lYIyXocGhd5xKaIAIsBN24qRQoxxzCedoR4b5OE/ocJobNkYr0pimx5
TYr7SR9WkHod6jE5VwH7QSiZTnUEQ+j789nbJRSQ0WY1ue8N6GIsvdXz5pKAr1mTS+iU9rue1XRI
7Rol3L8fC0h/Q8nFrYk77HqbnLhu7FlaVs5DW+UVQHUPYhFzEQLZ99ftMiirmEcn9ghyAFs5SJ96
rFosWZlSCH1YiUceRofDbiqYj0AzeycCFzJAvb8LFFsDGDvUxBmUWxWgpMpCitkxanb89PdrZ+QN
TJ0fgOktDdUnfeSXNa8KPbYRaP+hTEN4Glw8To6i706oMDBSlJhRYzZM0ettmuak0ujw1wXa/eRZ
wlXn5Fk6Kjil3RmopPDN/antLCCIIKhkoQkILsYWqAsAeuuEPKgAcvH1a9jokFfwcvYOAuDt68Zw
k2BpASqdAXJtCo2+ZRHujUldDE7pZWr0piwEaBiE+8Z64zakLmqkzwe3y85SXg26iRakpZxMVVQX
4TgMABf005t2bseniK76e8xmecCH3FlK6CuDd4HrDO3orXeH0q5wXYKoToXwMuxkcoG445Hl0U6F
xajuGesOqNLh2G9OSDMY2QlocBervVpFmcQim6OxLAZEkyxsLPcy9T05S7BDH7HhcM12W13cPzU7
gQvkb7w9IuiuGn/T61Oa/M8ej7TFErAq79ZhOsfSKtFx7JMvfz8UXteIxbifAWfY7GIn0H4DP6Ap
SpuOFzZbdbo6bM3EGMcHpzTGr96kI8ayC7VOsEzROTR//sdNBlKfS4eqg3HGFC+POCbjWxiRtGeJ
2/Q1t03pYRq6GnkehXrC/WnuHFaMDXAQ/obx0XZXIZ4bOSSgbWERKyy8dR5SyMo7mcdxibtMH4mC
7u3gn+OZL/aPuXJS0iXwMR4IwyKLGz1kMfHHJ1d53cHDeOfjR3XHwFAAbUQ6514PFWsq7c5LmsJd
K/vbTNHkn/2uectrP+rTDpXAf/C6o+f7C7o7QTwQ0RZE0Lkh0Sp880ED6Y2CB8BO4r/rHgAYcR4T
rqqDCe4NhfBpNIvQccYz6nqCtjCPEZ5g73St85I09SfXAp5hhPzywVB7a4ncB6xrFMeB0zIx6I9t
G0bajQLdxgJGDz2Ysnw4ERuWKNUy+a9X3Q7nEGSFg7Rr72z+OaiZ/x+DRjLwLDiC4LuIbPYYSuJk
rO6Gx0Gp+jGe5N+K4OBLN3ge854CgR7U/evx/AqSPm1ZdQWIei+Uatzpqjoj/QrPJTjK2ZDER3nE
3rriekI73VwZeM1dDzm5ix3yRNfFArQx7DTwGoORa1Dm4GEHVTogBJ3rMf77XiuEmsEBApDCePZs
v/qwtYmVuEtdyF6oYhph6mAlkXyWKvj5958DQJiGG2g0m7cu0VYzAJdY2nUB2nzw0EDIOqtnT2Vs
sMR/+PKgbg8gGKAhtxhMV5XjFHFRF91Yk9cB6bsLsOTLwzJ5R63/2ysX70fASpGTGQxTuNk21cTo
ia9RUwCQ1r8B9HV49iU/sva9Pf9YNQ9VPYDpfIO3uD4c0JeYSmUIVB48byEGoE5hrEBLH+zvfKm9
/P5OmUT8+hZCwxhK6niCoPQMHe/r0YSz9knNgMSO+oqe+drFJ4B7Xgeq5WlUTfpBJLKDhp4sz54/
HzVwbj8EIMJQhIdKoCFZbqvxldJUOTOYYW1ZBhDzm5ZHeFEM7/1ESagKcwHkZDK+vT/l2wAKTUoX
JS/gk6F8tW2Ux20T+X2ciAJPoClrWyHOsEm2MrjJ/a0FPPptIIPgEYTxgO/fCmzNZVJNVjLRAqRI
2MQ2ikBOnIg+GVI3jJoDRPltRoHRfnNBjCIA4vVmLxMEsnBsoa9ZevxRA3aWr9B2yNwIoCEa9+9o
6XkXAFUe7i/o3rgAPxtXAJDg4M91PW4/gsspXaBQvIZGL5PdNa91CC8koq33FXXluW8gVe8uOMr3
B97ZSSCvDPcFIlto5mwGrm344mBhu4KMo744U7te3EgpANLizj5yZ9mdZYzCCoiU0GvfSsBJb+ah
EnNXCPAm0K1QjkgjQe1Tq5bXLdf8Q5/QJWun8Aj7tjdNdEr+56SCi2qzr/48uSi/W23BAhv5IJ28
My/X+dKPNj04QrtDgZgBYgjiFz6R662EISCiaC3MisYeOmHgjgXWSF77nPUHn+HeegJcBCIwYJLA
GWwjD2+SrrGGrmhjcCVBIxRnZk0D2MGu82nymHte3EDloIQc+bSb1ybmcR32cOkbQiwqZciltnrF
YtKCtOUM6wJ4C01eireHA283Bje5VFQOhVhbaZdVVnrzgiCE08BzRfjg59bcuDmBF9acenKdw5Q3
Fn/voB9RQsPZ40OqtfYvFOh5nvXgpbI0ApPn39HC/Vv0i0++LxE4RlmUzAlNxZBwDsoqPEpS5kcS
NqRwtNTZUi+4WVxa1Rinrmb9ADJDz5BfSu+fqWs5vcxTGevclcqTmWL4LzFQC43ZigKpnOqRtQ92
0FKRUUbcLzVku8dcymp5BU0J0pwVUdY/wRIkD31IWpE6c13HZ4JZF66qwZiTw6zcDNWoShS+iS15
AsfNnFmNADlSjA4gQ1jCiy0GQlMonUAUUSfQTEkFVMNeRF35/zZQXR0z2cC6AeS7iXEcWtep0phb
VpN2tb0+TXVleVDZaRr7YgFLA7zHhBdfugwoXZ7LJe7eT8SBCmJNSHRufQm/TxGz5KfvWuIHQFat
KQbK7lE1MvKfGI/rKtVuOOms9K3p0jKPO6/iJbSf29DW3lM1r+QTXgPu22mt9bee1t1XSFaP3wCl
YVNqidhO0G3x2udkQE+rKEUAyFYZWOE3J8KjIhujWJOTPeJ9IRx7eY1rZmRnXM71W1uAgZy15cQf
fOhQQZxa1mGXTe5EeT5xKFWnNiQRqnSlo/WDW32j0kqy0gXGT68XzrxuTBNIG7DMUrb7RnrAFj2s
a9npTHbKi4rZi3p0AGCoCTsDfwbsT0A7KE6hpCM/OZUoXzlLK+t8ZL780lTWbLCvbUSyeJ66F453
yi+3QRaY1gwsgYcJ8M7vttJVm/Fh9rwXV5EG1lukg3BnELe9yp16oJ/hoFkO2ZKs0+MoiGQ5NAmG
y+T1oZ9adgmiLltV/7GbCIS1BC9nmZWSYydIx+FUBuCE/wuVrQ6YIXCJxzRUZP4clrwtHykG+wEe
jUcz+EMAaIS3MrIBIG+W7xryTk9tz8OfkNfCLdYm5coKSqEyWLRQTWoLL1LDG5F4VpQKOxntlISy
OgmUuaO0KQP1r4uq58/KTvSjDsq2O9vW6n6QEYXlkjX0ocCalDYyU1ipnXCIoS7T+KResoh1CYH2
vVWLE6mmecw1pU59WuypHyA57LY0g8TZsLxd62YNi06TkELuawifx06rOEUdyv5GtN2jvw547UV7
botrkLXtj4nDozNdKLWeKm8i36H0srwPpIuait/Mi5N1KO0/CwEIQAYGb+3/sKM6id4sLdT/GGrw
U+5HXILK77OZZ2u5ek2fz+3AqtPSQBkZu4End9aTCRAYpUJ4RQMok3z1meX4b0t39mADIiRQgqmM
tO4uk+sw6PdZglcyBVsl+EYVbJtOLAq74V9AhgDtHSF0YRcMuf1r5TTK7jO/q0o/w48oh0cC4ec2
rSNZ6VekddYpBSpGP0dja/mQWB4AMdTWODZfAssHwGJ2+l7jU7KiC3R1xilVji1EFnVlKT5Ms+8t
52Ekqk21tQa/4PdJXqDIF1YexJ2d5Q1pkQJlXAuLpDHTM0G62tH2WwJS2ZhCT1o1ryWMMOIxHXhU
Oe/aGKWAbA2b+iNTjpWkkV9PLRz+nAnIBygLQc+IWRoASTHLIa9I53lpvFRLfU68SX0OAlKGadSS
2H2YVwsZHO78qDrRpZ6d07pCXeO0QO/efV6g40N/TatDyvfeWPXi3VAO/vsV8HQYOyS+HF4FjevW
LzKGVubPziqd/gkCB0n1KrLnzv0CQTs3fokn1jo5KmzWO8Yq1iEgED8EsFNAXdcLZ9fL/KVt6rOw
w/ZX0kXqOdCtlg/cQbg5RQwasg9JNHCk9bWqOKSq+LBmfdiE2MTaEnC2CLU8e1Wpm1PQMihQ0DJS
vyqntr0XHVL671wPwQqKTSg5glqv3JeGrt1HZs2yfAwJuM45C+v4XaRshxbopdHxtPhq+DdUUR8C
gFUtHy2ppi5TSAbr50rWc3hK8Hu8fFUJ/Of8xWHk0Q7LKU7njlv1Q2f5kNtXMRR7ILkkxJPn1wH5
tshpaPKxD9Y197uOsdSWonXfCV731RscQN5mofQ6i2fUxnF7FSETg+h8HYFq0i2dm5xD1oY8bUbf
k+Atkyh6B1yDZfMsFIqWp0HW1pxPUIKFCJlox0WcOkyGvzBBgIi1a9VKmkHHQntpParwCeXSiT4k
0xolp9qmC8KmNStU0Uo47PlFTHgtf9beSr5KL2hERnoeR8WgAu9jF9l6fG6IG9eA/MHA6T0g3mGT
934IqxjIGCsP/IXYrdQ6Q64oESuyk7jCbfoyRYxaoBrAczshEOOr5uRfx+sq+3XXOfb02SktUhVN
t4KTPaPdGHinsKdrfBpFqDsDTg3HAtKsEMkQkgBccdLUWfgXm0Dg00orQJHakyWsCZJevQ+7+bNs
mpalPvD2zS8kjdA+xf2MqjaHoR4/oxmt5YfQssclE4xXiIqQDHVyHfUDUPLV2uLO8xaV4JN3Bu/U
xCrigOqNI0sH4LF0Gq0Rs/9J6rgZUqNX5UFdfGYJ6oSgmWeIXr1OSezNLJvhh4ACNPymosx2W0QA
acOTy5RQ5PIMGgwkepaprF6rKaRLUalyqV7cmQ1Po9V1TV6PvHt2ktaiDxTa3nbm6I58nxrsIWTe
4rYDth6AqKypuYsySSdVkgIAGix5pWgyP0ofQS5dXaLXbO5m8WX5P+rOozlyK13Tf6VDe+jCm4mr
XsClI5l0RVZxg6AreH9gf/08Wa2eFlmM4uiuZiIUUpXITAAHx3zmNUiaHMdqcUBMd9YceUOVDrIb
wWPazXE86YjwpoLNbVTF/TAmzoCdiBlrbjaL5ViNwpBIPmU19ha21Dtn6vBnwlenOKJ6zpZbgo9K
fIWtIHeNQVfTy1QWpDaKnpelm8cidXwoEoPRsocJVfc6XV3LUPRynftCmio1XKKCZDpHQ6zwNW1Z
jv1cdZqnUE5L3ToxZx2xc1GMHjVnU2UyrmN8EUOVSV76MhNz4dVjlINZpypXeUZhExArGdqaLgvC
zsKino3lrLGNXt/1eqKp26Ka03lr9IpoNrEUCe4daEm5YJ3RlY552zaL2eaEQEMfOYDUWyt29cyo
nPNWrwtx3mSJPnBvDfRWV7XWRbfdRbek9ivhatvcW21TR8eodGL2QJk4fopdyciH5jBO6kopW52F
2CqRWV7EQDdi32rzROz0yO7jzudfUvraJXFpUPmu+tEfkZSsAlPCgdHNMpvojM2h1N24U2igIwrS
p+7ilCj5zeNg11sKM43ko72vTddYKOtfFL5t3axgM2J3ltSuC0rWQROq8mI/1ubaRC6O3LW1bfsY
jwJSybQPNCeKxsOkO/2ttVLmDHRrsmDRVDHOB5nRi+7YiEKS3dm0fqD1BV40FhtE4maF0bMTSah2
n8+Ez0gScrSMvtJF6bMxW/bCesmMB3WKjNabLCe+6olJVB8Uhr6VTBk1sqVwaLyR3iQC1xElUrE5
0/sz5l8kbbQMFqvr0KA49ppTz5uq52eVnei5n4OZ/o43Ch6WDb3S61Sf5m9iKrOLttAoE6c53Pmz
vCl04o82ig3qmdPQbhO5jyGT1DBT1SiJRt9Uci0JUCXTi8BpRuWLkSdW5wp9AdEGSbw6YtUBj1Qq
9M7xIDCol+0Mw8GFaeWIDSlY+7Kuojw4g20327kspq+oBDrn2eJgqDOMYNiJHhQ+YY7O0m/T3Ar7
XJOOlV4NbMGJZu8G/Ehfchxdqyt7GtQjE1PrSBxi6Qa8g5UQ4hX5HshD9EUvpbJ3c7KJ6yiPYtnX
066+5bH05GAlVcxlUls+ztLiKF4lKeLcMWdZJeDt1+hg1rN+38tEsTxKtIhttpi15veagVgH2dt6
j2MGK15zhkXf9B12krvWbgvLnUvej2/XUXfMlraz3HzIYlQT6pHRljnrDvKkys+VHuecs+gxPuHJ
pb5IdYwo5CKc7HwWLSebPYxy6hYj20/AUtC/ZkUrqqCFHG97pTCMwkvJeAx3STM4frotVleJU2Vn
d+qpijTZMYJnWtF7ziyPqqfpYrCCXBuVszpljiK7bUSlm/XFWnoUZaNq60y6XqE1gHJ2YKiZtCef
kOLQrDvzORkkcD7r2JUp+fRa5JwwDWfIqlVOf0EkNlRuXPWGEvacAHDsaUK8iqWecRocEULa5EYe
PYl1yMgVhkwzAvD6punWKlAljTw3humTqKd0SjKXG623FeJNxDYOjdrz3aDe5ALt46oyvXxdis06
RNPsVmmpZdfDqMjPmDKagxe3Vl6FpTGz/jtS6Yz1i5AZ54KpPOeWU8R+bSgE+XlkVgoJvQGaoqZu
OXvCLNTCz3DUzl0F8tzkJnM16l5RgzOmeDRSZDWnCYC6VOnQcNrefByToZsDju2452AuWsVVHLnV
N3VmqHlQzW02BoNhoX+S1sLxpGqMFl4wZZZtkpl15ipdN9ieqcdJdzFHRXNRoo8lXLRyHPs8Itnd
jkWp3QPKiga3nvq6x1HF0W6yBHQz1Z509ZPidDZog4qPqSx3hPVqRl3MmwdruDb1Xk3cwUz0bF+1
NBhdyN/6La6M/bLtm8y5h2irnWVdrDzIfVEVZ2uK+hhn6to23lQV2pVa4Zd+mVVm85jpUlGFK1Ht
67xyGHsFt/i9hlDDTrKs1vlU0nFyiRJFul3UemA8NSmtXUDNqkC9o04dt7dPUgVqqhOxVKv50FTz
GO+LvsLG0ZxsffTg2Rk0y3SjtNB1mnumKabfHGFmXzgXQzUtFuUcyi1H5FvzwYVq0F+pcRmt4STP
9WuZz8vo2cbsEE3NkUFNSNGTp1NGwuHGjj2FpLvjCweBkiJ4WKVIzBUDA2Lacxoa7YyjOPWA1S/j
WnIOukjUI+Bn5aZqHDnx5HEZdnQ0E7Imy8quKt1YRrdRkTFzTXSjddc2iv6LEunpk6p1+quYhUNv
OmrqzSzQIPNI2UjFdbJfgyXotPvcXsfeFZWNomZaN0XEfq4sr+z9do3Z8DA9aLUsFYz9ENP0Fbl9
LE/akkCpkvK51icxbfTS6VufMcURxYxN9Tpaa1Vx53nVSleq0X3faAWxgMsYd4+NnFWDm43mMLvA
Mupby67FmQFhoHYrZsKxq7PiPkWK7TVNjGhLJCtNKNSWGbFHb+7yaW2/TiNEEbdpHYoEldaW1Mtx
QqVzawmpJGDMlb1IizTdaKUaU1vrKHG7mDvOyGg5MdtcNnVTujNxL288+kLgaGohkwnIZa1eiNJa
MPxJhrHjwXVly2BUMfY9mt4EfMd4g5sdLbis1Nrcj5epZtY7STcTBojmiYKLJROLxPN1RvBeYSuE
OpGbTab8YtDajt2kyQobxlLRP5Uwwky36Tpy1rmb7Yuu62q0ZMtMudEkWXlwimRSvFl06rMonPoq
Y8KvntGq495e4sbyJEEEsjMHFImpTRr1Ho86x/akTOhhspDXYvoqW5ObK/ZsBlYTTRIB2lQubE5N
+hUFn+K+dZT8a5/JlB56eYmNUETN9NSPSX3tZDX1y94xe9U3GsP8FiVzwaBRbFppLGvyU6rn2tkE
DG7y5ETCJmu1xvjFnmriwYHciX1ANeRvppY0lLTiMSZ0mtr+zES+TSJRz9czXJjXxBudFVyW6tTm
rdJn+k7Nx/xrZSDKFSS9Yb4Sbi2sRqk1b3oLZUI/kZf8nhJu9qQUxjLABqvHRwWWq0pZYSUGMvGj
TyBkDKC8cDKvnxYFhLYrhDPfAeAshYc2i8ksxUdIDeKmVoieopLcrenncVNGeOmi2mfo29ZKY9kt
8nqhJmIPUuLnUXfasfHSPbaFMsfUygz7eU7a/nWEGda7lW3j+6IJiuWehVLRNSRWq/CWvm2f5Z5d
N2BaGa8L2/IdMPH6LjV6lepDahBBRFLNBloUbdN5VppLU7BqCu5RtZVx13nXyzZFCLp16Ak6o+TP
jtmejkK72TXjxFYwDVp6dKQYLUvTEpOfjyhHeqOecghNJESviiCIgtVZGbtyKPH9Jc3R70QGcOfC
yEkMPQ5sYbE8RImCukiKGfFWFCp3cprO6mWlW8yhdcRw0kumyTjS9kSLShuS1N52VHvJ7mpTT/Ya
RcYiEElW7BttHsewlCXhuEopG7M3mGOjeDa+GHQuZt0cXbU3rUfAFx2vZYkGlZJNhQyeQol542TK
pHkxfQ2EdPIkPxQYpEnnWkaW74+aIzWuLTTqNk5s6KAdck0hKh/tmpp4n7U30yjnqT/U+ixcUTpD
cqR2Hz8IFbVuGDS5uBSloQClWyvzWFZNEe8KTvnruk5G2AoJwX8Atb0e3B4WWw+bfSZcrZRa7zzs
A5SN6IesCNplLG86YZGqDrNFMB8RdXQgdUznvEYBGz1RIaYLCH3UiRz4xqurDibnmlEYVkvwrK25
W/ZT27gK1cYbtZqkZOv0WfaNeIg8UIoaC0Fxh6IMDM+yZ0OiJ30VV1r9LbX16MuwzJN5qiIjDC/o
S9jelJHReGvfG3urypvRK+OWppiDYnbtzgRo5WYuDXve1VTqvuGTpF/FkpWnXstp77gxa7/w5UlR
Bvyko+E81mYL9SuKL4qL5ggVtso2pG8z6cUxWQ1x245LflnnDcFVZdf2LcuKl9TYUX6op4jsHoaU
rV7LjiSlO7xwNfC5oqlOeYU58jvSeOhj+i2LUiDV0AudnFAnichGorjFIKv0I3sEsYdLcJN59ImM
jR6PKiZPVa7XHJFmfcXuUV3WVTFnnAoQqPwuMpRAM9pKo441KueEbyNLCUKVYZ91DTXSs46cDU1A
JL22xjSPV8akLA9DNYh074iebTAeenXbl2ZiedPJ+sSrI8N+lVpDOcZsNSzhJhZ5UFiz8wWhHYU6
bFpZ35aoBWQ4OcJmgkWDdZP3XZXhQmHC0KvKrrHc1EGvxrXzxko26aQOSijb1AM43doYwGVVlBH1
PCPOXa2zhv4UxtqboqZ8589Zq9wOul58MeJBv8COdsFZq5Op/NbxvGzAJej0obQqa1ADlRyUtZwk
+dqJIeq34GFjXHGc4nlJIUW47WqREMElkMvQ7qJCDszKMY6VGFgcyZzRxDFjfaawSawp+6OZNFcW
bbHvutqOGQrEBELs7NRZXTsuASYUa2w8FbrInjCya2MsCrJhG+PhmJ/V1UCmqXIEkLqY1ryn9IbS
dhdbfXpVaSeCm1F19Scg058BFA5QxRMtiqCXNvg7gFQkt12LpDft6EEn9HISOWzkXsFcMjFus7if
v/y6C/0BRpIL6hg42CeZTbTH3jZN+0IgOoANB0aa1XKhRf3s5T1bZ9zjqhUpOeU0kopdWfSTn0ij
Ew5l9pm48gfidtwE2MgTYP0kvPYOnMJkF/D7kxJ0d9QdVubIzeCI/CVdG0sE6KoTSSYxKtnuuCac
P/C92tg3EODbo6hChfbXg/IzVoYGK4AqfMyoCMLPfTsmQlXqMmnx+oRfXZ2Rwte3rVamn4Buf27j
0hYCNm+fOCToSr8f+UXv6YusZSDHSMnRtZzYAEzjEFdrsvm7DwTyB5a/DjiHKPj9rEpojrZF7FSB
U4yOOyTNdKDLIX/Sf/8AEHNipaJPABgH68XT3P4L+K0uxarZc8kD9R17QGkVr/XadrdGZMJEXfG1
66R2vvn1o300ijQ4DAWQ78mL4PTzv1yUevQEbsougzVpJ6+2Z22rO3UU9kldfYIo/HCtALc7EdFB
bvxEQpAwRFtB0FeBnsR3zQCUVxvH3qOTV51hxBFtVQQTQ0Qv+7taWzuvKNT6M0XRn+cmk/Iv9/Bu
bsaqFGuTcHjeGfEgwqmiOkukQv37AIeTFztqzQANEFF5tw/JFpbIC7WQgGtRlujl7Ik6Maaz66g/
0YwhHMjyMfkGpuYzCeWPtkAG+KTgh/EzQrRv3yikyJX9KKuCqtCHs9RqwVAuSQeqADU/IdFA/vUM
+vB6yPCY4KaRV1FPWI+/zKC0gZsvFR0qtHKxBFTqJ8+QcjMcDZpxw0mW99fX+4CTyitEk+bkjWqx
9Z5e8V8uCEMzlhejqIKoLJpkly9cyatVIzpbJjO76GZNXPc97bkKbxt8mye6xlouraar6qMdxHVp
7MshV+9/fV8fzizUzZD1RIzcfC+DN1SGlkboTAYYLOcP0gClXELq2f31VT4cbUy2QW8DnCEnf/vw
yTALMkAVVNlKDSB1pPqYKxOdabK8846o4pO9/INNCacXNlpEnigQvwfFJ2bbGiMpQYApqrNTh0GE
tDUNqmZgvuRIGFer1dXj333Kk+8B6n7o9aCjrL6XKl3bXNGJWqugr5ro1TKy/A5S1HLRKPO6W3QI
uZ885s97048rwqnGDQlg4HvWaFIiBpAuSR1YhsgQ4jX0W71wKJ3Zq+WlYLy9qmB6L4ugbKdYQChK
8DC/frc/oaJO94Biqgl6Flzke8i16EY9yxaJiS1bJlJWq73P9RPTbaTeXhWxGtpyY3tZWwx/V1KO
K8PQYMjReeAG3s0q2miaiLIebXJct7eDaOMAIErvNsuEN9SofyYR/tMsPl0Pwha29OxTP0VNnKBL
vKxljfeNmj3aidkUvkUa9bSit9p66tp95qrx0zzmiifq8ckiBTzXe5GFuXRoAoLyhsYy4kdnmf1x
TACnpNjwHIA2WBfgJ6xPtoSfDtfTRYHBW+gygbN978edDmNlIwZXB0NjV67jrHAj6VyCEyw+C1E+
er7T8c1VTniFn0XXJVWnS1IFqSUXrWtIZVtukQ1TbFdbZbEhccgfKgZ38+s5+2NhvEHT8YxICgOh
Z6EiG/Ru6tQjQBLgQE0gQRm7FqSx1MQcHMGLbNIQSUOv9o5aXxa0TWzfg0eu6DaNUXyWgMWiJQGw
K0jAc9wkiRLZbqHS8Pwf7CZQpU4xIm2In8i/xJ7amJhRHdhNXW0limkBuONmYzvUfpJ1GY+/HpOP
Zjf1VLD2hHOnY/jtHh07rSh1svygmdrFM5YiCWcp0Q9o1uVoX2Wf8WJ/TN7374DT8ER4g9DAf95e
sDFLOqGlaIJo0ik7y9F6SXARz4cIA6ujtZirCLol0b4JSbUuMrkqL0117CK37Fb9qukBvf/9IUdp
k+2bk8pBuOY0Xf9yRo+iace+ipoAF9wycPq62VJ3SQKEuZTQAu3wyf79wUpTkN/ApAJDIFhN7+It
qhVaFcsTQ55p6XboxJOxmHFgo5gT/vrl/nTME87BiyfNQtgNKsC7K616lOixSrckI1juXVNOtVeU
8j4TOPz5LDjNH1S4eKUnePO77Cae8G3B+6sN8qqRQxA+iEtrmrS31wLJRQN8RhtZ2o6M4TN1qp+z
yRNNBHAuOwn0MGQ/3747HNCd2pq0NtDoRJI+52AyLCvxBXpWY9AMurkT9TQEakKcowunOSbt0H8l
Q/rMdPfnt4o5ogagXTEUVtJ7je18Io2UwWMgEGBHW2me5u8OjJ3LSRjt8MmM/fBaxJUk8RT8UXh8
+9T0HG3wz1zLbmXhFrOG6K6Sre68LHnw6yn00aUgVTqYiStAkN/rq1WD0dSrbbSBvPS6zxQrdmpU
fsmVNvtkd/55sp5WIdRLtIQRrHy/E9Eq0cC5OrzKOV97l6owkNCkj5v4k9H7iUrCnEFTXmH4cAPj
PHg7erDF2kkfMpykuuWuF+atBPvBX8esDwwT/+lVo/xknbAHrdTmnyzJj8aTR6T0cdLg4cB9e/G+
lrUlWXnKSSqcsKNDswOMlG7zbm0+udTPx+wPV0Ccy1n/xBLvnhPWgdKAjukCKzNEWDSyebkQOQWy
FTXgasiRDFptTvdJrePDNWnRN/v3dd/RAFSzTeQci1UQZOwJUzvGu7K0lVCtmj6scKP0ETrsdmXm
OJwwortZ9c5+rPCs/mxn/2CwSfSoEBETUgx5z6BZ9RjB4bzqsAAZTA9Eury3Sqi5bed8RpX7YPYy
ZZm+6DabvNp3g11ijpCQn3fBQlPVp9okDjXl7Ye/vRpP6gsn4igXou7ydvagQapwPrZdgGdXtWnG
JQlwrlPduVLmT06pnwMDyMVkNGRvMMjYYt9eqkY5L7ZblVXSFl1gF3h0xr1Wvc4sKteeUcj5ZFl+
eEEsoGWeQYVw/O4YTuxZAQ9idXSZkHOcYFP7RW68gCaAfWDkxSer46O5weaJqhjyMcCa352NuDEn
eMDUPRoJseallSG7yBrK3sKgfrIiPpobBjauMA05HdAAfjuUwKWtuXBwy+gY7StlwgHMd8wMUtev
Z8dH1yGqJm9AtcVES+ztdfCHa5I8j5HgFbYdOJG4gAjymW/aR+P2wyWTZWVBMHx3kYGEVoqjqQum
xEEulmZBGFvD6hsV6/zXz/PBBoaV18mzgtCCB3u3kfSKIcZubnCD07WT7S9Se1Hag3EZ0/kc7XnT
G9Lxb0tDMu3hFVFfPFVgrffOZVhtJc2YTX2glGTuTjd1W2gql83SK58ceB+MJPuAbJ+slImf3ssF
KLAKq8mp+sDOsP2YcizuMmjD3mTTdPv1SH4wMxhGlIGskzYBhMK3M6M/Ub6Jn/qgwMzlki6U5erC
GD+Z5x+sYI41hcCEqqljvPf2NCtEv+ZVZ54X+RJkSZ1sK3pveC3Q9qOU/D8IgyCEUg5GVZbN8D0D
VY16TSmWQQR1AuN7wCLWbSvCwKxM5n8VHf7ref5f8Wt9+a8Epf/nf/P357pZ6Icn4t1f/3mePnd1
X38X/3362P/5tbcf+uexea1uRPf6Ks4fm/e/+eaDfP+f1/cfxeObvwSVSMVyNbx2y/VrT+Hxx0W4
09Nv/t/+8B+vP77ldmle//jtuR4qcfo2GgzVb3/+aPfyx2+n8Oe//vr1f/7s4rHkY5v0KS3Ea9c9
vv/M62Mv/vhNMn5n4H9sbjKGjcwukoPp9d8/Qg6ciiqnLyEPPZbf/lHVnUj++E0zf0eqm+q6RiJA
Tm6ztPt6+PePTvIETCSq7sxZ5bd/392b1/Sf1/aPaigv67QS/R+//Sn795+E00CT7qQGeNp+T/zh
nyyEcWtIMoLY74riJrt119yW18pXUbuOgGrkNr4ZvOT7cp946xlMsdatN9Mm31oH57C8Gmfji9g1
l/1FdVvspGPxkr0ovrEtbtcksJ6nOxG57SP2mV61W7w2cLaq1+zirR44h3U3viSAxlW39QB5+e1V
uzcfk0v9e7qtz40z9RHENExeBbzBXXcrzvq9FPaBcxR+EVZ+4hW7/E69as6mILrKdlpYX6ueGhSX
uNhfdbDvgWjflkG61WPPCatjfTV9mTD6Ttz+aj2zN/PZcCd27bV01J7Vve4lIQj5M3OTXxhhu4l8
sc0D4qEQcMb37LLec5cX2sHaRnfl9Qm+8Gx/l2pqiqgiefF2MBHkdVvTLXrf3rd72GNUHLujExpb
+Us8H9t941w+DefpnqbQPr5ILpe9c1zuGMIznuG7GlRhtFvddG962BsfqqPlWm4TFjfRrbrDFdxL
vN67BSAWlEFzJu+1s8QfPTlMLmjc76swD2pP94VbbqbXKgq7IUi+Gtt6r4ROiOT7djiPrjrgDtIh
erC2+QYmS+HPVyccs+FGIX7tvdcILzUxc2aJbYfkHDXP+KlQDhiATgdjN3imV4XzQeO+Zgr0XunZ
38TNQjyne2AZjK/rWblNr5pDuyEoyXbt1vBNL+O5yMIYlmyX7Kyw3Nab+KDuq9v+Qbooz+1LrnCP
UmHkykGyk3FeYNjzTboxfetaA2ztZi8xEMn7/DAep439fTnvhDveO9fAtO+1g7jpjrbpKskGspIu
bx1uFBPPrXyRhkog+81m8JRweLT3yx7LVmKLoDwoR+mG+Tl6aVId03JrhYpbn/N5P/VUF2zroShd
ObR4I5vCb75BrHTbq/EybSH6udoFg4bprOnP2wQ8qewrt3MUItgulaGces3ZGE7Q4NzyyfBnv92Q
cmOyeX5Zeq7u1ddZuLpFaG2Ll1DcxrFr3qmVH2fnE6Zm+wdsQaFWBrAQPOKvQEJFj7toH8rz9VCF
4lhjzwBrgK94yZhGsjfv2Nt1BdRzDEPgLPfAOnVDqJhfB5DYjvhOrQjo+/ciOhilaxpQL7azdi7c
y+c+BBk3B8UBhwfPjfDdACD0ZbxabowvJQzsym3KA//PgBWzeHXh9c8IgbnzF7BRigeKiO6bt6ie
yVwszmBHVvCwwO5UhtuP8Ej3BWCuZSs/z3rvpcxdOYg2eucuj+1+va+AyDv7OGh93PGyffRc3w6X
NFpoLIIw8eY9RNMgtx6xhD4aty1SyeZ2wcjvwmJfEuGyr870DeLQ8qvxpSVU9fvjcNP4leUpWkhZ
+HxxIYet58adHmJG5xU+REtcVaqwVsIKOG3WuYWOFQOEYD13M9CjyS4uvEnwwOfmeqs3lk9v8xZj
8yPdgi+yCuPCHeurcfQtCCFF4doQFM/rS/3FBkIbzCHsN3XfpmEy76zivHhMb6SduXHUsHKldjN/
R7gQG8ngvq49xwWQmV9JAYt6B9vP6AOhPTK+8lfMDFT93vSdyCtfm+5eCnLdzzcN7CQQResWp1HI
ZVoRVE+TBP51awHhAPTRHWbygW8AHV06lteth5eT4pvJQVO2zhqAHGdGoJ4PjCtX7peS9k/9kICS
A/E0+UX0HKVFqIXazbBuy+RyVqjw7tUgvwMgq3zTD/hKV19gLZf3w326Gi7lB3tLnxCY57SRaVuZ
3oNlbk7Uq7s8CU3zDhFNR74HU1lvpwS2l4eeSA9QqfLXr4PjG+umpoy+W5xHxhqAd84XTjfTjXXH
nPIqZveFuJZHr29cyXS7vbjK/RvUaQ1vcNeKPne4TC+JfRY7wKH86b6/l69kwx1DWQ0GKQTnvRkk
b4shYvVFurSv++0LKv+VW8o+JPHmXNIfrXNZGrzha3uEBeX2oRFN50p8XYXacYiBjLrVgzV8GeA4
pa21USl51qPkzc+IvW8qcEyutSMb84SfXk/BEpgRtNPzzIcck9zyPV8LL7lKLBgUU8jiUHwp2ZM4
Nueqc24+4Znopn4WjMgRJDv2DRdL08q8107Y7U1rjoHSBvUCy9q1gVHrPvtbCU1y9KW7wnTLb44O
tthVy/P0q1x9VY6deABuasEmj8/675qY3bZ5NrovztHID8O+dM50eeO3weCyqAZ/nL0vYxBMzyVS
GhmcJC9z59bV7+P1ZTxXoPo2DYgqNsqgOYdiwOZOO9+dLTbWnB9cDaHIVDB8oGTTVL7kxKpc87m3
3dWu7vRUD828vEdReTqHhZzfRJkHCNAZg2oDbDjbD7vJB636ZF/bF1bGUIhzOIA9QkVP/EucF/vl
LDoaXum3T2AKd1yKl9p4UHXP7NztQUFtm53J6aI/JLvhqWldeIdP2uW01Q8GMMsR6o0L0O3Mbn2A
ycalsjX9wVdDnnUCUh5a84Y/JLorb8HIRwkTrQ6rZMtcbVI6hq41bQ07sJATb3ZZuo9WAIpbYdxP
8Opfhl3U+fOKVn1QlXso4Pkc1tZmn+yZZMzm8RwJSPBjwzb1H0H3z3AIQtMOJ3MfiUu53sMJn4X/
IneerP8rh/pbcfltXfLP+1D7TYi+ea1P8Wz//pf+X4zHqQ78Ih4nJaj61+VNNM4n/ozGVcJqEi9S
PRntQmAy1D7/jMbV3wnGqUsRV9OyxXeST/0ZjevO7xZFFySwCLcR7DolUn9G4/wIYceTfxfEA8AC
xt8Kxk8J+19CcS4ACAJdEBQtZHwQ7FMj4S+dFuxCxLxaMROkS5yDKUX5ndQO2YVVS8lhoPXli9Sw
vChu4CTBst53hjO6tZFanxR/lLelBVTWuRMEkU+aN4wEwpJv70REZQXwtZo5nfM69cf0ITK19EyD
NP8dDW32PFtNHuzFSI56TpHSRdLA2HTGBEe2lwzixgU4gX5yMxfjSC2sNZX0WmqW9ZP+3Ac3igsN
5XcaLKfs/V25ZTR7LZo0hqwdhyyUMknbdO3eIvw+NRy80o4+s2x71yX9MTY2LpSoydKbohF9qp//
5S1JbWmPkapDDkqJ8FZctOQ6uZEUWXJlc0FaDTtMX4qGr2luwikCNgslZdZgt6Rwo+ylQaMvTzdT
bnT+j7n+t1b7/2/5NXZRv1rQX6o4ee3SN+n1j4/8a0Wr6u9krhSJwEj90A6j5vKvBa2QQiMbjoYC
wCn+YDJz/r2e7d+Ra6TFilYVmTReS/9ZzwZLnQVIy1cBsnJKvP9Odk3L6c2SBoVBFxdrBhr5pysx
Rd9OlrrO4Kg5Tuv1tvQQcc60xU0SrWLbw1nYaipU3EUgPmT3sy+r0QW6cfIWEUkwZdDtQqsmzMlP
BOwsL79E6smpclr1YIBj4ErTBEW5gos9Z+sUDEqsnTeaKrZwQB41pHsvrcxCeu/EWxU1qvpGYX5b
JuNltDblED12vVoEdWMPh7imzcw20CLMh9Sq2lXJQU0lCX2BHnh+jJD8nu00vpzjevY0YaibNSOr
a+bERRL50pCch2ypkKvAqTed5jNJIYiXVCFtElOil41SQzhKknaOAbMWyBLQXmL8tQYfHllhAVls
k8h9fj2DB4Nx4GT2bZzUdNVgDQRtKdt380jbEPq9rvhan46T28GwhwkLTfu2kdRy4BGl28bWUqi+
XYumhRqP93k/NwROkSDEYgPf2kNn8zhWTPzSDjLlDsuRbgd+4zScjZiC2Uiw35OFQRI8I9/m0v6P
DqmUKGggw9L3FBnItBWztJclnUo/7g3A71JS1V/pk20qNusgqZfmYc1nhPmUJe7dFHoc/eXRym/A
v+tIy9fr0AcnH5/9ImexE0g8KGF9lEpnQKIhl0DuI4hc0zSIBK9OT5EdInSPI7ihykos2MC3gG1u
qffjMg+7LFnKXZu3y3Zuimdt0V7r/83cmS25jWRb9otwDXDMrwQ4kzGHFKEXWGhIzIM7RsfX92JW
tVlKla20uk/9mlUhECTgfvycvdeu1uuQ34gmraP/qCr05GVmjIjNi0JeySA+W92jlR4KTCswR1yK
Wol9HAB4A7wIbyrguFG/aWA054XW6Qckm7PF+XGFghtBl7L3q3Q2daCdZ50iMe0n95uU3d4wMBn4
N4ZX8rUt03tmd/tmMQ+1VT+pEH8NDT1+1VR7D6MIrR99huNNtatiP+PX89LMiZfBXDZBZcUiLbut
J6ezKIJqP1p1+IApKA446S4u46TkQCLkeEk7u94HlsH501VfUVcf1saGGxoaTh4VmSKUnFlevssn
szkicgjvMJAwQK1GoT9pMfLP2cDjdqHA6Fh5i9qapXzswT5FwdwFL1qSObxoxmTN5AYba5qNw+CU
012o/BoRtrC3qXOzGXuZBnQD8HlJ96GvxHGZoeLjsja3VVEtr0piDWDgmF+IFva3SprJEfNiyti4
Ct4mowXZMbHfY2zEAYIr+LVo1LuPBnxDq99LgTClyQYugh83JogyHDFR4RRv3QwB3FbSwoFjB3Ht
+HlUu+3rRCTendmk6XEUCcYVID1A3XF8LLabX3w5fcPfyHldKz5XUugsGjVuC7e/uYlbFBKcDPFn
kYe0CSscjvnNgCWq1rvaQ4phqqcV5JJjeahGl85DFnrvgXCejUz4Ud8Wz7RXTkZnw/OxgjCywyZg
/Ziyp7lyMXJZXXNkOnnfNuG+zbjrctCbpKRLOFxXO8tjLCzeORhnea1v/q3wmfF0uC0cr49Af2w8
p/zDXTl9CBgJGKiEuXODtL1PiIgZSTnaM6BZjvYKIyQHZL25LdOnjrWfZ9AhGaEEdCeHHl4ETZGS
tFMN+3Weu6iYgoPXimto0XgJmn0FPInj53QMGvuaDLxv/fwNdyvwltDlAFrITT2miMJWHPGNn13c
7jEzHByoPRO7Ecxrmtd0WoLSuyTKjW1t/ZABJ3du5zRpVUdkBeN0zqruVTVQcMzee6q7On8Mm9Xd
VVaJNSsJ1t3i2e13PE3+purK+cGt8+IAyah7AV61zZslpurIowwyhDHWn7TTrBs1WZvSdU/NVG3X
xnrXFmF6IEzOYAmcyARYj5q2D4+La5noUbz8BQklPtMGnsRRuvVpoQvkUhCivzW7yCybZIiwL+hY
TP7r0uCWhm1kbFFi8BuUAI/bsc/4/psrvv8cNGOVHBx39SJbf++tgj7B2NV7XrrlAFblM7Y3we7g
pvGsJYQe5maT3U4c4WewATU17kOh6g9MM+lOt0ijGANB9VjdSE3zcsqShtMw3TodwuUZVnGntXXA
TGs8WLrXD4nMy6izmnvgKc9Bkp1Lq+WDmWWMfeUBn9b7DMhh22E13wJox2+ZthULLiY+n9UHpFkH
erFOMYDx8Nj9MN17Ro/JRsvYWdttyZd9R/Snvdeo5K4Y4JZPUyqHQ1Wtx2Auyr2LsY7H40bQF914
sjNzCyMA//9Fk8i6KRpJGyoLOgtMGj5s/IntpmMLTov2QNtAYGPt3qZei40xdM81EOtTgx0TSxT7
ZqqW5DirvId3i/eolUSxIBl/bHo8DowIT6nd7Bnk4hfvevM06NV5Gay7SRRzPK6TF7sVkjJc4Oa2
hcN86Yt3zu00qUzoLJuiHZ5IXnIPiebZUoPxOevLLOYhtA6+NMOHsdSwp/KhO7JHOIeKJQQ3kwh3
JqEEWcQteHu88XgVDUWPyMXuyF/joLKDOl7d8WrW/DSj8l9tGEi2N2ylQ+ugtiROyuw+TOvvSvix
7Cv2jSz5hk2ZAjoY3itOQVtZLLSe2Gh2HmkVb4Qqzk9pwMaXFKYbwY6x9muYLRcs8cPGnDz5JWvV
hFhuhX3uU4jlW6i2Il6D/FCTOYBNspvJ7uNpghOwY1n/PEv6jIO117lxxhN1Wcq3tL6Zud4gqt55
bnUvNWC9pd27BRojXMJPHs203v68tPq5KdzHtPwagiGxw2qXhuEXiHGxVV7DJI9RfZXt+CZGNtep
J7+wvXdGOt4wQLoyADMglwBlUcG6iBB+ThaTngJATmtRELrU0SvSz45pTHFuek9yykg0mpGvBcp+
aJeUrardGpNtbjmD9WCx9lhp8WRUJyd/09JlJBiq/Vw3H+VS3ZvY5qpOPBvh/NaZ2cl1xjssfZi9
5cPAA7NCttsMN2VIb6/9FsOOQqMIIwHd19GgbMVKr/M4mWDBANZO76osPayd6OLe4DcCgxVVdfMF
wy1dsTz4YpSz2PY9j0uA8ISWahBsJO/arT/r1zt2spbebZ9sEzt1j4X0xGEuoUU05jsAgibinL9G
yZI8SB/alAOzIcZ5uW7k4jyPpIRGpanHrU+A4VN3Cxb2EK1+g870JcsmqOKiYsdWpXsGdNjs4dQG
G7/RkZcpZiEqu9ba+JGF/pUzLQ+XwYxDqu86C69aQD1ashiS4u4GksJc62ztXPVQ1/lYvlRMzwL+
DTNKOxnnARWTsWT6rbIGfsdiqt940GoYU93nqpzvxsD71ozmMyQ6684wqx9UZ92pJcbrzVb2IxAs
PlWFcZz+sGc8O7X1GEw9j5KYknurp8ULFW1Mmr1iMejpE/Il2rvRxUiP9dM+mGbafugpLZ5BXCzH
vPiBuTYSdbCDXtJcAXYYO7Lco9Hp9ReTDESIZaXYKDgT9zBTcLmutXzinXoI6uo7YVbb1rEMMndr
84h/lCwQ1zeqzUTCV6zQFF8wzs0bbI7uVprpue3726DC8Z8HI0DB5JZavwZ5538NyYKOsnYuL4ks
sjhN2eCl9subJXy4ZY2wmLcSbuHM4fmmrINppJBelzkWEc+7N/Wqt0kJcovw1uPUiu7StqW446Q0
bgmufh+T5AkMVf6eqOzis9MP3YSkqqMK97JKnmur73bsyCpySj4jUKssQgzpfNhtJw717BkbPxHG
sQ0Mll68IiyH6cR/LGZ5Tjk3oNNm38cCUJ8FdrJz3pbF1vIxOgnljqd27tTzkq3MIZIcqy/WixdD
W2Xs+SC3GOHwdTR+Gh7ZLeXZVGFKXIwPKEQb4dau0nzchmX4JejydDekguQ71nTwRE4bTTUcMtZJ
LJxz24JTbMdTV8Egk474sAAufde8H7T40+KpqaS5LSTJpIs/mJvZzN6zoLR3hkcyGImqzYlcz9Xa
IFNRRwXu43VBRRUTidXykIbqmwCDuSt7fW66VIFaKa3wVY3sw1NoeHh7B/9kryKL2wBWVxCsqAPr
SUcjn+qTQUOtjWbp+vdLxpIkZovho09faPRAhE4dmLMDQWMJIxf9edY0x1O/Y5TqWdV4X4SdPqTl
8p5hUWliGQYFkyWp5RVJcHKvylIgpvD1XrNSbofOWK/lSFSztXZyr/vV/hLOrdiN3jCfrIJiIAoc
VmJQlibSlZSZZwkQZ/JmzFzNtBubXp76MDRO4cSpWPTrq2+V5ud5Elbk9uP8CTfL8GnRsOzndcQ1
Xbj13rpFu/lpM0agYaonc3FxJehUmmdy7fsYPuKyVX7SXyudlPEyFta9BNx5e47UH5M9zBEpAOKq
7GGfW83TEn6umgyq21B/8v22/bCyOmEGJg128kQcBKAV5h7yG9IYZw9YM+w2iU5mJjFZt/fNBWaL
dhNgeJbzkOfuO0FV7ms7WSpa1oZpL+/ZZy06Djau11zIllr2tLwVwE3DvZaZfCmUCz5xdtwjQck1
T2v9PtQ8X4laYq2K/uRVI07wnlJeKzM4i9sbuZThp9LqysfRNpediesn7pz8wU77P5oF49hs182l
9d3lyul8eSARPdwOY/M2uX2yn6DcXDoYlzE5fCvLUTqffZN9u5gTODl16SZwxNbi1Wz1eldhkGKf
pdbvjW7es4OsGZSeYBKYqjG3vwVjKw+TO3jbfErcXYh1bGOiez74HAwj9M/WZvZC5qDBcDIs7iWZ
vOE0oXk6JkwxHu001OAk8Nu3mmo3buTqvgkZ6sfWKsQThZr7FbH2cLeYYz5SBNrzvWRNZyXKnO9G
oyLPrqdjandyK5OkfqzBJMlDmncPcrC+pTMYb3kU8ilrEVl4B3towF4s6lSvYxaFbQeN0CePKPQl
6FIxF8YlxOP/iIfS3aRlOX2yHbZaQ6bNN57IhUaCMg60JdOLMebEyBbrE+ST9I0vvjhDmi1/OInD
mNZQ7j4ow+rlTxYH99JupLm+iKHhuFAly6estsK3Zh44t8xCvi9TjnAjsYsvyhkDSqnEYtlBdKYi
gziTA7C7uGzBvk2oIL+3aBLzaMC10bMsWWsZqVGP5tbIWmaOSWCv2TtQJpQSXjqch8xOxdYLIKjs
B9U7ZeQsjvG0UNRyrptU+uZA7yqp/6vxPV1kDREZhM9T4zXtQ8k94qqnbIzcVJewOh3ijtxGWvcd
pd8xt2vECzqQ4O0cN7OuYunszx5Az7ulEgvVg+Ug4sBGhJuymZP5eVwaaCk2lwQ0I707M7eqT0Zn
gYC2jPWJdB5OppZfdUcFEoc0+EwmL9mMfGcDj9N/cOAj/kjGbIlxhjCk9YK2iMApQJia3MI/Yy/N
960YNaMumQUxB1Hx1a2Qv5iQ2nYl+K4D6xLkJmnYsbZWn8MCg1G7CJms+u1wMruRqSodDVmevXJu
GUDi2PiahutDnUjxCsiB4V4j+7NQCS0bjlYbtrnQh5dErFqUBZ6Kc0kcd2xVa78XSfDhZsB/x7CN
zLGFnWI0dUQoW3nKRgaudtV215S8vaM7Tqel4MBUGOcmYxqurMiRwIf7VO4GjiNj2iePY+J3B4fa
K5JN20djrzi5rwsfWUEnCda9cq5dbZZRXrFDJuKRuzgKd3hzPB9IlLMtICrHoychlTVRgcrBm97k
PEWFb+3rED1F4kVBHmwAc6SUrk868PvYdQ2ma2sI8rGMSrb1VtpF5OYVWwwWTgG6sqnh0BWRuXwq
K++RIUQs6nmX6+DFMVEISZSm83KYqx9lz4Y20dr3cu8JXmD7wslw2ptL8Ae+ygZxyS3NJ3AHsHQ2
UGRw1uvZyzzvFI54wfKiwNaXfpvpaduW1hcnLw+udm9DRg/qsgC5kDvVJ7oXJbIKrlMkTgZlSO/d
JW/26MjODZkzGwgH58B2vwX9raaDrA1QNAip4M2ouh09HfaEW4yjHRWN+UMLim+/zesndmDwQXqJ
rIJGoD8HG8Pt6HfgOfQzR+woou7r24LnVkUZJWGhwVhajI896jxc3h92V8Z5IXZ097Z1iFYqAHOy
KMa9rSBOnUTwEWUP+KEn9KwQ0YgKnKGr5/13sfj3a2BdQ47xYxe+NsnKnLdwsidER96OB/SjBRux
uT2PrQVz33T1XZtqziYB2EhT81SA2sCB04+PhtA7Z0ZaUKYmVW+APsVut4QvPTsYvoKsYPdxz3Ci
vvjBAQpttEqkGH74shq33lhwBoewCUdGsQSlK787r8FUxG4WvCad+yQNC3mMyik5EH8Jez+2y4eZ
lde04I4HsXAU8LaOXr548MupG3ZL5bO513dFclF43TZ9npzmSj1Rqd6VDk3itvKKbZME7zKHT7bq
25qePk0NerkgD2EVJeKodYsqLUjifHaHSACKg5NLpoINjFBZKMpu2LlWSefIrv+pSLooofPIeL6/
FGb3tKxxWokj6PINZ8S4NV1oXFMbotiiZnShrvFs2TyN9Tad/BOtGjBiymf5gczRGk15GNLhRHAf
+5mZuFRLMKmNgvV6IrIebYbfXDyzPmj7gc4jZf+87Dpmf06CakPPTbNp+GrogQ2nCmxU76HHGHpS
LyucKAfFWEt3Jh2sxXcjmn8Pc1BBaRx41xhZDtNtUEmfjUbZcUodUF8zsCVz70kD/evHPAcc9FTC
Zh5+99sKwkyJZqxE+YKRMHXW4Wo2wnxUvUZ3A5yLkvKmDwKZ8imshUPijsgPXQIPEAl9B71Pf1QC
xYfDVN9rjatXs+DdGDMBwh1iJ5OVFtvYnDKo/Tp03pX6ZAUpfKvwnoFoJPNw50u4MdNY7tDJKUtu
bOc5yS/gbeN2UvlmdpLY607E+8az/NxZP4Lc+qA4nze99acDIXgoGzs5pu5ybgEXbTo5rmeyS8FX
mQ/1IK9gRjkKi/ZrYy73nECO9Yx6ZVEXU4PM6p8aCW+ADpO/nXtKgt4uPxd5sc84pngdP0qX9WD2
1CkfiahNF+PVENfcgC7lI3M0x7MJoyWo13gtqkiYQ+zWF102RwP4U6PW9AzoNprHo403omQPSfUO
jIOhLg59Koog5xSEzT6pXuk7AEV8lfPd5LGi+OuzJUY6/cMuD/cTfdFuIN9Qo82hybKYDKjr4HrT
ImXjuZCfWYo21BwbehBoKxRDjKecinRx5lh7GoOw/eC5r8EIjla8u/pr2b8ybuGwx3GQ/QBTBaXf
claIYvxu1wdvvWlEA0gqi36HeSsWhuZuMOi5QRknG1DHnCc/LwaomKCtzqs5olfMw+WldxjMjmkL
R4BpTVSJ4AVyj7NrFvHk+KO+yh6+4SwA5K/DDxBxp7pst44Y7yuOeLswVxBEO2YN1C9IeALr3Cbz
S9f1d7Iwjkrmt6caXLaD8p9D49BHIIrWi4M8BGqaHRejDz2VYyjK7I2pg8diRcXlGXruuAfOd9gc
z8Iav9zwAxCk1Ohf7Xp4MWcHutYAnZd2llM92iiS2YLofvhUMk42XkgCQUiH0Z5/Rwf3Cbjf/dyH
XbQiZ/JYfplovCVpih23XvvH2Xz1jeautND0zYg7+8z27mELeUek37Rwx2enpDvscayRkq1jAQMN
nu/thiO7+LMLD2JgXje9dTjBmImCY23bixAPq2KnFfsyL7GuzqRPB7Y1w+PzX7DmxoTnnM3CvO+6
TzOgeCjjL6UB7n8aSL+AtgeW4DQXzo7oNzzy659NU6HTUz6n6G+qINnRCi8OddhBDR/X7uqYC7TB
obvmpksz90aby546Grm0WdJpAzjrEcx5wVnGXfhbSjGDjrtpdwcIcvSUwjmFoJbDtSY4bNP3VFog
Z6trmpwLMksO1aRTziGJRFLaqkcr9N8KYlWOfS8LIL15eN/4SXLK/TLK+BYi1+/8a3gTx+XtfZbt
cCszLbWCry1/tnFFZe6NqUwijVR82fAdW4eG3ureClHPgrxVh9aDfebxEPp5C4hPozT1jHeX2rAM
4YtRPAyYs3W/YX5QQTSclp0MKI7mYWtSWATjcJdSNL9or/HZqkmA4PT2tBThRz07e0tMl9kL8v3q
NJ91ZdzRSngFv3ow3OVgdcHjWqRIiM2RjlU40d13T2sWPNqUdWPPrJbgCsSvNipOObxiSn9oReBH
pAk4NH/zIapB6V+tfhBb15mnrZiWPzJK6M1a4N1Y2/JrphMqRJf9aiqpq0Yz/yiCD3+Vj76bl7Qc
eJ1Mfc1T5xVG59Wg/b7Pbaqm1HHQMc/tUVYSGN4iwqjonCxSnXyGlogSw8dNe+qHst6HffatChjl
odNtLHbC1Hxeg+zYYCuMMJ2hr9Y8bUWLDXfh6U7aGMv1xfBtzRIzM0OojSY7eVNxosWW7OZ20vtJ
Jmgxq76KUsfet/AdM0/x/yHYwfPG+Zi30ohWIjFeU7x8G9Bud5NpUt14ANBvJ5QpIx0HJB1NTWat
UR7cRm7ykZ02BzYpcohf0tvLZv7RjbQoRq9o4Y4hTlv7tIhUiQYw1a66Kyv7Pi/m4chHyzZqCOrj
oLr6lEqb9aZbxjgZ1bixe9s/eNbwJSHse0fDgmQSlWSx0dcY2K1nXr4HldOqoY+VUV0JaytX4IXr
SicsMcvlzasoH9WsZ05qSp7nyiy+e8ppj4HM1GmFWLYBo40svdVil1u5Ebul6W7zdcx3ysvmo1zc
/mh4QcGLWJdRW6pbeVdYQGiLMTLWcIhtCH0AkFE7mCC3sCs1cqtS83u55J+hHtCFKIq9NaE5EPZc
RZ4yUAcG3VvKyOhBcNyIyd8In4LFaba0jYpIyAoJKPDHq706zCvayYzrYjGgYxbPelQv2k/eq9E0
do5awwulYYc4h9F3rtYxCiHNwo/3ri0H4DxQ6kyupjoSqli8tusUXPqxc49qpJ9t4auISm0+YNUL
79auum890ezzcGi/D74zHhahzAsctfCrJtziM6TN5S03m3XvtKOm75nS/a/lF8vAplW0613nZfc6
E0/GJG5NWT5A0K7t8yJtNI9kEtWFTb23SBWHVvi97Ow4C6dm6wtFpMNQU/zk5IRJdgJSM5i+b9rC
qY5OFaAaELP3lOaOiGu/e/VC6hmCKVAXOMm07ZdgPaQgBl+GReWHgKChVwJ5rrVl5l8YoqjDkjYK
RdpyrT2+w9Yu9lOed0c/T9yI1Prr2KBkSfx82thdTcRKBwW8trf10KBpHrQVKxuQa5sVuzapy1vX
69omlbqf5/EDAi/cyb5kRetXyJpzRtkwdn0fh506heZFp+bHQPcAailhBqjo7ebWm+LtyZx1EeS6
EO/BCPa5N/tx31ZVexBdbv8v7E2/FVb9pKb8fxqh/j+UU+L1/p386thXH833n9VXt7/4t57Ssv/n
ZmRDNCl4CQRap/8rv6L1/T/QMoAP4Hcz6Vrf8jj/rb/yfGSY5KDhZeWv/D91jv2/3E2e/T8Czhw5
4LAKhOd64r/RX/0qDkSzSWKfuCkYQyx37i8qRq20ayawybY+k0SiXdOtLuTCPB8uaKjXKqrMrt/8
5fv5t8Pqr46qnwVfmDA9IvvwBfvk9oF6sH4RfI2em7EwY8rk6JV/MJ9udtZsPUKanR6mGV367y/3
s0nyX5cjUY7xBzZkwc/ws75sMIekBWXfbxs/BDfvsJ4pwQtuFp33L3Uhj+7fe8X+9lLwaCw2dVsg
uvv5UsmIRX60yn6bWgbiHD/MXE6ikIyBmMLm+v193USUf5XC3r5G1BPESQYIYuEZ/XwxAmhaq7aw
H7e2Ku8yW437nK3vi2S6wyRp9mIFGHreCG9UV4e81H+4/t/9jDfhnmkiCwZO+Mujw94Nqa8y1Db1
gvrcjf0K81Opy41Tz3nPsP/hd/zb6zEpw+iKmJWX5uf7BRPbEaNuoxVJEqZtq5RXb7EnIgGC4BxW
xv/qcjQ5mY1jub65Ev+qYZUAP2EFOmrbEdwUw1MCZ0cgFFPrwD3MYK8Pv/85/+72YEqAkYTYxJt/
+9//opntdZc3+azRa0G4ZpjlWQ/mXIVX2N/yfhb2Pxl6f31WHdOHnoNK97YCwTv75eerXBqPTomK
q+GM9VD2bD6IHQkd75r8/fe39gvPwUUr/vO1fnHKh+yuBYRzDB1N0x9Lb2yitOoR85c5jp80HSnJ
BUaadnkMEmO86+bFuSRdgtLj95/k726aBxbTKLJT1FS/rAVzoRENVnwQQk6aWPvGjIszy8805+ev
v7/U7fn46+vJPQsHfAZrtY2R2fnlngPX6lIXzCRGtRB+Ws7JyV2t5Zlch4qMj2H+lvKHNfwKmex+
f+lfVwak+cBJUKJgjQ1R9/6yDHVWGTIATOtt/SnfGneOwLdj7Ecdr8//5YVY6djcuBes7qwgv0jL
U2IxjISZ9bbEew7VGyXuABQ5Y4CEhpXUGv8YlIhFjWrq34h4Gfe/v/5/fMeWxcMF6kpwdhSu+GVJ
mHIU90ZLr8qppvxsZ555QC+zXIIMUZJMre9z5gzHdG38f1j7/uMbtiw2S1AMPEuEevq35+wvLyvK
uMaSPUnaZLeoAxehZ8Pk9aSlNtEz9A2YbGPaywkpip1yOv79ff/n5QWFAbn2bGlsor8GtDIMDa0i
6bNtv7rrDvn8urET6UR2N3jWVlQefR1b0/30hiE4tJQX/x2wiS/9BilBDsj2gys7+DXXm4iD3MwG
oF8L7BmU28X33GntSHpZs7fU1DKIbsLdbJn/xGv6z5/8dmFcKDcWpglo7udvviPCgUFBh+C1sGg4
hW24LRn37lfTbu5SOAuvUJufkFHk/7C3356ln95n7pgL2v6tIgO58Mv7bOrEspiHgEwsgp5sVN3t
zIDIUbMm+AQEdLABc/RPfIK/udvAcniHfSw54Bp/Xa88AhAmpdttI5f0Ai/D3YHLn45dHaKU7IX1
NAd98AzWOv+HJ/w/r0z9GVAdQloLAl7un79ne579pTfnemvXLu3C0mjfU7P81GnnJhF3YHFZjOtT
0737/aP96zZIRrwVWPyurm36HrlDP1+XkapBZgwxHa5kclnMAfbk1bXPgbZRYofG8feX+5Mo8fPP
ymYrLH5a1DfAU365Xt6SPEDOgRFz7F4/OLZZsS/IKd34+WwegiVRl8Tw0UGA9MguKRjSq49K/+vA
QHkrc7J8Jkc7x27u+hfDUdMhF+H8D7/Ffzx6vOOOADd7A4uA0PplPUc+qDICPmea6VkWGcQaxQ6d
noNHTB2cMNz1rEXD/h++GfHnPvHTdyNueEXgYNRcVJnhL8+AHyRySCvLi29d1Doy3UmtXyy7tUGk
c6CWdz6jkuVSL7lhngloK2ykggSE7rFo2NW+W2dR7MGYLdVznyNed+nXOaYTm2MicmKHR9O8C23W
mufkFjrHXLXv6AZK0mJO5dJk/SFxZON+mcg5ag50oNYyRqGiDEzJrZmaW6DRyXoKMrsG42lbJmHC
ousHTE5VVd/Zsx189HKtvc/J0GfptWMu38VJawOXLtN8qjaFMQxfaZFqcTKydPq06h7dS2eojk4C
jzrQESHXp9ReRhqYi81zUIuydMimrRyBF7xFXGdnzHNhQiKjaUJLmy9jMDs/yq5dDo3bYA9IF/QO
AX1j/LhTmL5S2WOA9+vhNifp5gCddmg0D2tmM2swMgJh4q6qcbX2a2dcJIsALomh7j9CZ7K7Xeaq
mWEvZcVRpnhgaARPnOyh3es3GmOMgKRPT1qtbvIFoqmcTqkysDwT7OrfLcFiIDXhLMSQkvBZDKph
0ikWtMzv6BjYRotKqQJbaU78f7dLLsq9Ejq3oz4X/QcR6MraOr4x0ErFHhOpotZIIwaFcq7oi+UD
KfR0N7a+N+9mY0im+2lacKvmY5eNuzxHKxCRcTTi4UXZcKzw612sVdKt4N8DhkoU4h2d7fYP2zWH
Zi8UDNuj9sjWjLjvnIb9nK3pIQlycfQTtTYX3zIzHY+Z2clTlprG1qxpBe+V6w7pzloNIgQakdcO
+C7tocBLUu/Or9Cb0i0juDfuPAvJXhhMasKBK/wmklkWCNyni1+ecqdAy5QZZGSy6dvJtqCoS/d2
XS9zbMHQhYHR0wJcnHTMtoYs0gG3Qt1MmFCkA/KTsnY8hhZ9653Q8H0RT813Xm9incU6qOZtYBuw
G0p/nV7sjtwbMlg6CvF6FplE7W8kdZx4U4sUkgne1lGDBduD1azZOQy8XkBB5vwMasDRp/sEq/+a
D5A+xsKoYmsQafFozjaUBLdc6jOSwLze16IYgvsBLt/EcKvt75Af2+lZUm49I583CMdswSIirDWT
4LkbGnXpVhpt25B5DVeg6RmAa5iIALVqnTL4zHJb7ZW2UK4ThdDuR9dJHpxK9TXx0CZQjaorJl4n
2UsK4bozp03DtlfzVhUDGwy901erD5NP7Gf4aiC5BQl64AT59JLQXfMGz8NpVJFVy2hPjAxzUt1+
9dKePYoK1QDOMIc63zVmIacHJDKF+SiyqpZbmhzV403fQSpHa96yCkGCbisi7Qa+DnMMH3TnyfCB
gw/t767P7e6KFGp5RuNolaewNgGLKytTW8Fw8NvC7IaI6mWcktglq+7Y5As624WSjQCP3PL5z6Ug
imWqTAt2AfBGI0qIaGnjJqxHva3xtSH/RLZhMJ720u8F8b3rNl0Dcb3FB4Qxg6bsMGk6Noj1Cdob
6AsDLM4fMvrMoMYSlwwQOHi3BHQHF7tZNW6I07Kw1GcCUsgMGroetd5U3iY9gSSp+H7sLJxS2Ga7
7FTWczcc25bQTH5o0I07zZyc2FZRzfPO1R0GlqoO3bsRn7B+JcHIwYvOYtPui8H3vSfHlS6BIJUJ
skNrckNqcyJjjaidrt3mnkzsjacWAh2Lfqqjwe7W56E0sKIzwF92QHIJb19mH1MDWny8NCXG1Ybe
P8zgDbEhnXmkA17cN7pr/g9357FkuZE16VeZF0AZdADbq0VqXbWBpaiCBgIIBEQ8/XyXZHezOdY9
xt38s2Szk5WViRs4cdz982pDLiuFMmD7+kXYvbAPqa2n+xgw4VNC2flb3dTcsMZGKdLqPDaH0kHY
xhmToJFmcympTWMwzOlp9fxuG4p5KlfLjNq1GWtieOtkzKXhvTNNRKuWvHkuU4pQt3nSFHdhXzQx
xcrZwrq5Zs+6lV1UP85ttHCALqHzKJom/VTxiF2QAZG9WYjS/7NcmCePbYjMfiz5nKfw2eOlpHpv
GNXRj0vS7W1GC2aocs3rKMrTn3Vadj20BjtP97jgxHNM5SXK30R9JAfjkiTYRhMKXOvAaL2S1bKf
1dCcQrzNhhVTMjzKGSFtpTJrOpMsdnEcFAm8HVLT1HYuiYutqGmF9dYrY341tTfjxi3cEGyRSaK1
UtpFeGkyfCX10iMKsECq8x2PFMdS6pri2sT9pDDcJdZPJwuGewI4izzSRIsty6PfclU40ibuVRQY
yjPLhhtkPB/7PT71SytrEnW7pEj4YEwUQs5s2D3eRLppKZ2bZqpgN9F0MVdmodckK78eLb1Kc4YO
Ph+L+zFllbqyMxV/BFlQdhBEmji6RAG73SL7udjMbY25oYxz85E6o0WtDUjXGQMFxVkbtNTwtnO7
hahbG47BVlwwk/zLRQ7cXCfCSXWmTlnbfqU+Y8XWE624IeSsWP1Tua3TKjupIGvsjZlaqElMJ81H
MFayZizz02vegrSsluMiPlq/U3TMdoiGtAm6qNVDXPnYXkEXowuZqLSv8qGDZ1Isvbr2ndw8pWLu
vlcL8iKgZhX1j4uYkngvCc52a5E66RfN2FG4t3TkZM/gjMtbFBDgCAR8AZ6SKneZR62q/FwINB77
MNXhNgkTgn9jm8ZPC4+1T/TFDijOoa4Xl2xZ9psekMxnkhTkSaSjs3SlInxnp3acL3Oux+gj/EuN
7cQId16E1tWx9mcM9pOJy5M9OPP3SS7uQUYlwh7NcQwLFb/weiOpibK2I74RAE9i3LmU/Um4f4nz
MxnsiRwMcZ1pw3ItvpuRmbMDtWsOS6jKhqylLLwAa9mIBSiNnUentrHg7JjeTu8xQPPboumSwjrh
mN65Dp1Q0WOtL/Bx03s0RrsME5rmdqdJ905oZWIzA4GTZ8tRTc4hO2K4AgtJBn6eOb2qsG/oSHMd
pLKYD7S9cg0ox52rU7mcaHiJX6YWLEcSfTBN+t615wQXDTpjTeUNWBJzQ/ovmOXr6Mz5S+PnVFmn
lIjRTyyFKlbj4M/PFj7CrT/m0VNjiotW1SXLdMqYv78mBlEWQtRgPTXWmD5hKVItA35VvxrZTvIL
fzzhRX8wlGKrea6v4eWRmxpR6WnFwrVZMt2mHSAwrAFXeF4CeTsGpP0LSqbkTopGcoqRNZyOhtgV
BZH1Uh+MVYe41wjGdnSmepekYzCGzak3NIatQyHZLFgThb5rRMeq32UJ/YQ3/WiP2S5CcTLrKVSj
BnHTESUmhlRmhyUtJroAO9+vj5WMqElN66mCm7KME7mkICH9mTV9dGbkpe6y6GPAVFBYI7M2bjS8
x0uNoof6RsQhx1x3Bjxuqz1oyprJJkrSA2qJJzaEKxcSSXPmHazJa3mtYyjVcHsc9WF52vmUA119
64VG+0snXe9tJo3KvR4zv6apDOnlCeRyvlCWRiZ3XQ1oZiuDsxWjk59SFjcLXe9EgLPHwpKObN1H
PLCUkU1keHzDt5e5Wcx/0DaK06dkyl1fGibH7bwkkWadKov7oqOrbuV2TnNwFS/GA6lwOZL+pjZs
3Sxu9DXkvlh4PJf5E3Y6Rh9+a5x8wp+GfEN/AF3ZdUGUaONkOazfgVqPGqCDdXGwVWIaNlPt2qCN
ROH98Jq8eB9LlkF7tagck5iOm+u8SmIwtlLk3ooq7+q1YMPSbIay5xOaR1qUbKom99hLj9KH0mfU
ZZx0fKI8ItQ+uaZa4MiIug5YmoqmZu0WZVYzxc1dwyBM79IxMo7Y2wjJMVawMhhusbRGxdqXQ46p
wVcWU8g0MWUHOXdYZA156ZiwsKZ0pFFeqb3P503WkyLR/owdlB7GihAzpmm66krmzNNc2aO/dRn1
cPMzva5Gr+zuslqLp3S21Ukg0WIVnhIueqE9T7vWDyx7q/loE+G8ROEZzqwBlhXpn60X99WhsZRL
bbml9UvJTgSmnJDaxTxBlnVPj1zAL5QfKw+muNgTsfrIcCvJFn0VE9vHk281yj7D7VbeVxQB8vJH
sibU0ufNB0VKnb/TyVx/FjylfFJ8rXlXNMKTm3JC+lv5Fm+6TddeenWVLyr/EmQzexEPmEQw2aYY
IKlaJbLfzMWucTXyvZyG9mgtYWVoFq2tT36mBCqoyiUk2UvuvvRnjPGJBuHlgVus5gVuCAQAl+VT
5ljuXNxaJh6PvVvHzcrpUnPugoiUou48azpYowCWUBVz+1COcuDuOgUx6C196cWsczX1CPO+uW37
EmIZ16/pGd4pCBPdYQ7iW8J64DB4vFhhFdAYiFRkr1rHxf/sE5mkK5s3JjaIzjObJjWMvhnVqFea
5QFhYbS157K2cx6T1Of4Y7+rV9xjcnflVpDhgU2Foj/ElYenz0wDI10mG4+WcLthYnEIOdBHPIMP
UgOvnJ4rnd4I6olplAry7DGoCcngOc3tZ2j92DG7tI3oElMjzoNEQY5YOkudVA7r/xjlHJB4hm3Y
hhiQ590gs36n01nikqKLONg63ox/I8g9Vs4ocZDHhDeJDtNZaQ5FHdIq66WYDDAjNM5HqOds2nW4
Px8jNTZXuT8s9b1dZ1GyzjIayVeiXWJKZR067jeeoIvr5LEWSW/Ro8InXxugglYPxsJXmtrAJXVp
oWQoqAU2ORYXZ6uulhaDnU7sVV5Z2bRtlwEvmRwHeUNcTy9HYFVTurssfbptrvBBketzI4x1XSZw
CLSZGddEclp/XxdhRgYghQfITzRJHiPKaS4XVIg6a13UPiAwaWR/q0NL5T+rvEih4AWas3qj+Vuh
87gely1dL5CeUEbL+NgVIqW2lbTVcggMxaLk9X1ob3RhADpLW8Zr9m4ABcKe0BUNjIlDmi3Sy0tk
E4jcBU4yHZO2IexnzQx063nK5x/GldZhdjJOpJC6UANCTeqffqnMVWppwzFCumC6yk2YObj5XMy6
9KAqZ5MzdsxXdP3WeKQbAQvWdhTCdxtxDG8U3A/rKCO30LQqjd19Ys+KGBNvD3XbWLzBV4GH0R13
pcgw8/Eis1aycEV6aHD8k7UsrbjbVczG1MC3scg3xuoXe52osmY081NvN+ol6DaWN9e//MoS1zJ2
jbsj+sGvxIbvzht/7MJNyBULP33KhnrtpSwpaRf01HfBOizaRgSL8IeraQT+EQ8T0Az8uz+o82FC
m/3MCp9nU+uAq7frnGZtUpp10KjvxeKlGRE8nz7yQAOK2MBTHYiwRcRjr2JaaD/buofHwVFc9Fj1
Wjgis3NJj/I1PbnhIC+o9m15mZOIsYD48bYiCj4CiudGMcj02WYCs9Z+M/a49Kki4eNSRgMinJmi
bA+IOoP/UUdANdLOmighrW0LQ+iSZJSu40iGqu/1bkq4tYzSrcPoeSw9vnRTFJO+Zpcg8JrNtFFh
Zg6CeQMyAfol5T+1S2ojx5+P0pe/z5Sh32QMtXxQWy8k4cI6LcWay/uSi3RfEXAkD/ri1Dl39cSZ
5ytiVoQWyPqKK+NbQ7kuQpn8yjl5P+ohjJ57S80+qDns/VjLRxQXE8n+kT8yWE6Y6doXr6VSGYti
lnxlCwSPg6Sk3T1k3CR5oyiA4etGduKWCdEsh3DM6/lOYT3GRs6wKQkQQA9Zl6xAOHtM1AvO5UHd
FCrNCP7jufwQTn4BWTCZ/bSWSnzYNIXf+kZpthZzRHJANSH4kqpi60Jp6YJc52VBcFWkaMyHIXRN
foRJYr/0vHJe/ZG4wmoZpvKZ/LL91Qlndm9k17AiG7N88Da2zxceKeZI963s0nBHgqbAspi6yNbs
yjBkGv8TyXAved246zH1YHIQ2c33GhRVgoGfwX6Fxc7chZhZj0uxlF8eGd2YN4PlfHB86O6BGToL
DypZRIRDkwFiw56h5HnnOpZtSVQzjbAaWtgsIkR9pYr6sTW3Zoz3bMjgwyqPjY0Shl+0b0Lrh+Jq
yIU5JoK5Fws2vXNuyH2ufHskLBBPDFFYDaXa8CI3HtdTZfmHxYZEIDXdrBvbq2bWiR54aBgs7BrY
PZIZl7UruLqWZgSGkIvhrfZKa1xbHm/j3eiM9oemGapYscJEFgtwojwWMDmiM1lB7IOuPxAsdIpq
4omNuUiewyCyd2mnSWuLgZbglZ2C0dz03uUzSz5tPPFiqksqTUl2tNSdzxCOvPK28szMHNMOfctu
TLnJ3o2sxttlBU2p3MpCblEj6+IfHHUk9nge0puyjNOfwkozHKi2KvClWU3Br6wTetpjoI9tOqj5
OKy1b+CeWN1itej3EDXYbo2x3qKog3fg17huNXbEg9N53KdwuVEM3Y1DDPei107FFbvDq1hXgma+
bmy/W3nhm12YjNNDc4nCYs4xYU9YKgIMILJ5PjoUNrNz6MK6PpSKPR5/guIcghwjX1Ki+M4xHjn0
H1nY9DHNSz4V2OTUPH83Gh0AP0mHjE113JbtrnSyJceor7i5c1I4PfNp2xJWdkl8rOmx7bi4kN31
UATGsdrz0A23No20KyeooI5XuXPJGhoDZiiRcAgWkyk2t5G5pEuslKwyC976JpM6YxWVBeaFXQ7i
WWQDyshMwl7DJhT9pvyOTYMbZq861mOwDoqQEruBe0i3SsmaNKulugQ4erbGCUmMZWQjCbnnq+DA
Yqkk/GVPbAijowiiDkJa3z3z03EkQZUqO0ukqhjupRnOgsbzaKXcJthzIHCTGScz67Wsq6jdYJwk
kM6Nj5KiSuJvXVky7BP0Fle0ByYLm9HCdFT3zo5k894wPnOjiYpoxpdpcBQ4pnbEGgV01FdDmS+3
Vp4k8W6pnEDtOOjH9gpsSh3tIxPG8WEe7ZqpJh0i8r1UJQ4715Hdd/a5JTcgEwZQMsemg1zL47Ke
UGbHvdW51dMAb6c+BEFKMAD7j4NVU0ffaVoO/XVi2eo+9PqgPReVnV7zsx/mTYGF5DYJWm8AQpBM
yVqWmc38khYN+2eV+Ff5kqSAaAPwXYSMYJ9s2XJlZjXAOCSNhOgerzq3TvxdZV8S7zn17g9gNsAY
qyqa3jNIN8EqbxJhXdIB48ucRxYhEkMaejaoQRs5RP2blbZctxf2DgnkI0c0m0gEjdoUy5RB54SL
oQ8Dz8ePfukdrkNUSDXXQwGRYNXGxv10R5ldInFN9BmWnfvkEz8gg8auV68SdybUXKRuuUupuvop
VA+YaiFN9RqSvtwTu2KVGCfUUm8kFecFL8gwAe6UEccECcXUipNpesPbMH7M08SeJMmxeVtq6qp9
Tf8q6gg5UZ+4L/99SC4V938dV1W4bZs2K7eDhcK1h3GQn8pQ4NeOU9NFh1otwUPMzQi2q9KhuqNo
NXZYB6n0ngW3eQhoAAeT6mdtvl983DPXTH/cWOAljcnZh2qTPOToE2pDxtuefnUWyRgIzbNQ4hm5
JQ421YIUuW+hVXhna5mL7N6tITrc6Hkel9uoKGT80Lp9Ka58SD/Dj6CMgYyW9BtBecsLdecEZY0n
1ndk+H+zVf0f+jUKLZ4Iqm/A+1AT9xdblV/LJeTSOG+8JJ+O80BsxMaLv+WQ83YEeYbfHU1/C2j4
H920/+a5/a/u3P8HfbdIC3QOoTn/Z5YpaIx2bP+NZPqPL/oDfuh8E+jWHlFhG2ghDtd/uG9d+5uN
qM7/7LC2+Xf4IQ5bpgiPYkxWEL85bP8JM3W+YSTFc+NR8nYxwfw9+KHzm1HoXxK7wHiAj8gOLk19
uFPjv9osKq68tQmZWVy76x+CQpqTpVV67PoiWSWGrvm22mSNJr22tPZudFX1IgL5BX/px7h4J1cP
7zTcxdtgqc1WssfmAjlygAShxZJZePcz6usKHWfcVMi3ac5OhEOW6/hC3Ih8KMTt6TYtBrNj4f4y
cU1JQxtBD5ib5dAul0WLtZ46d71IVEo7dW5dPd/VNhr6OMK28SznOupz97FnYxxxtyj69NRb2fOc
Dz/dAtSwlU/6pnFZulsNmlmilYBdwT3RyolhMBl/kO450L1608zBFZrrG47ME4Noek79DqJrrY+O
rNPtGANCcQMw1KF8wOlbEw2tuNvruTpMproxqnOPiVWdgUJcsc4gUW7719zv7vXiPzYoHGTKLinj
uG13XVncFgzM29HTyZbajrvaonHO5w1Hq9ehgLa1ZwkG+KagfrZUe6QAh/QEyPbLnDC74cvAEGj6
eN17SgNGB4kWzxPUOO8RUstNB5wu9tsHO6ZuQctDDn+jN/0xn2dGfu9IDPpqtL1tlOurCQFh7hAy
ak7ZuqiZC+RTVTLRNh0yEHIyop/3smC4WGMtBi0Rsgiu+2d35kK8AAgB6tVcL75fbQsUcEv1UBHJ
RcxT+lmyIs+E2csFqHnZZO4x60jNFsocmyx5RM9fNShKpK0MTe5ZuWmUp1lu9hSwFBxciLSLRoaL
yiPyw8HlNd0FIQtFED5lAc6xazepX+abtFRnbgTnSULItAovXlm0Z7FPa98cRwooncOwsphoeifc
uUr8zCNifr5MtmZkaUsqHSUoF/uk0J+j71xdZLOVo9DvS1B5sqaRoYv4/zkV0LqBnARkWcReYuse
WVZ7AWWS7iEaqN2imytT1S+WKu/qUN92mFhKNT4l5IYSv9rgLtk67mBW7jBsVeHsGfCpMSjobpv8
6KOr6j3UG7DcjWutbfgkOJFgjRe6PU0IkIkzPMyje7QvLJ92PoaQmlbjAvOn1DZRZt9j9LeCl6QR
NzaXjE2kwwcgKPxFpvbKyimcbfruUM4eCWa74SJcAg93yfdwBd/UQ7AG2EeHhZ8+yoY3PKKqWJLX
idspP4rho2NhLU326bvWCwpLd2LDtFlG/xOKH8zS4Zy62aewFRP7HDy5vag+dZg/Bn1ynIVz5ZGT
9FjXlUt3cFMtkHC7zQR8oQid274BkVLO9yBRhlW0xFfMjs9ZV9ynnbvNW++xc1FfHOshh4iR4mpF
TivXJLOf3MJzIBM6uwhhMrQJt9Mp/Oq1Hd4M78ZXybu5iAjG6+57ZlCZDOCG5MEULVjxIqZH2z44
xXgxBpCWke2XGKpjEX25VQoaSLWPk2OdVALkcyAevel7Pe6ihkOi1HQRDCE4uQkqQlj7n5Hox6Pw
gWTJ+cWDsZSkQLlqeKFBzzPlNu4T/wAMQYvtwj5nMu53HtFkXUFHqgUNwEXXBSuHA6ezrJMT6l0C
ifa2K5zmGPbBLmz1U2fIAU317eikct3PqBOt063JG+DX4H66n2K2C0Zmz5GFzAv3oyvjV0xSm8il
RkNEDiMfTLXzVNK38RI3z4Tva3rR1ovX7iQ3lg2Sxv2YX6LLZry2Ey5Qs/uCx34/xMlGRctnu/Tr
wQefGi/smXM27wc1zC7svHA9pFAf5vwGIANoER/4jpeHZ1bO1zW5vlbnwdrjo7sqgHpADn5mfXwn
Aj5s2hR8SlzJGiAZqBFXHnQL/T0XwQOi27px6wMWyTvX16/cs0jTeSx5k7SPV3XPsVb7N9kCX0Ka
8Uu1Hki1lGHLa4t7PY8/6jYN9wRvL78/9idTcx/LiVBp0gKjC+p34k1MZnV/33b2rjZg8N2AI1cs
4+uk+Sflp+3Kblo0ECv+mAJwPXr2TpPd3HEUAES1ptewdMzjOGcvym9wiIRXMSygxXfv0rp64zg/
9ol95PoKdIs8dOHoF7vXB1cr1nIAnkTb8GnO+XEX5PYqifLPu4OMWUgXR+eNoECW+RR2+YeFqMgL
bOT2jJIvqwH0WfRZjXOzGSfcQHHvvTRhDackJJWaFPJ2nnzeTFW/xsv4a3KicLe4LB6hsrBVa3Iw
qCIcr9ou/TFP9ltUVCfj1/u+zfEwdIi7aSw+ueafWy1vcw/1xzQWwt6I8BZzMkDdbV5Z1XS7MM3v
cm95YZX2E0UVJZpApL84D3ig8IZBf01icT+J8tpvhzs88e+t4aWKgLMih3PjX6zcHuSeQc3nKJoo
VijFoZ0cUrg51WYUiB8GEBCZRjmfcnSBwnO/ROHe8et85uDqr8pSHkrPytZjEsm1lPpBTIhe0GxY
acDWiJdw4k4//5xT55FlYbserPFMweoNrw5i19yheCzsLQHHdT2okCtZu8ut5b7qUcMmhZHAb8s7
J/JPNcFcyGIBj6526E0AxmG4163zKf1QM7QQMFy3KFKfyo1OWUwgfkF8vWaiKTlsHH6HsXiF5gTq
wSh0tWmhEAyAgczbh1zWb47Hrb2I4UOOADisGN4u24pt5Iw39WXsGvQV0sRz1apfVuwdSGty6W+8
X3U7by1EzjHKQBdIymL0ZO99H8CCl+KP0K52rnP5PbRSvnUumiGohXI8DoF9Uw7xPhumDooegBgk
bo4HtZvqZVctQqyzeDgGKatMpzQ/8jCCjnShcaY6WunAvl1EsY+l+d4m/J5Ch/Rm2FJVNRX8Ssp3
5fq0nSzzOSt4R7jx+OC5kvtvUe89GQHTXBSPc+Nd5QqXnI9gDCpES7a8NfjmLiOKWwfvnkeKasin
66ox9nYMcW2UntrXEeRZf5xgE4CjCkjfsvv/7EZM6T3u2S6dL6axaWBNlx/QvqYd1D9/UwTlk5UT
CA2SYs9BprfJ6AO2mHNivS3x5czGnyfTqtj1LMogHysO28C/6mo20ovi1Cic00LP8zpL0tcJePXO
QB7cewFKSueOxaoe7BT3JFGhAKUTdia5UB/gylCwqG7am0ZcyHAN+TDeBTu1DDecc+fRG684yYHu
unh/o+ZdVPy6aFIHaxQpa50vzFtDgd4BdRg/qbWrL84KIK/g/VR1G0Je2hK3eR7c5SHU+ffJLNdu
nV9BdnwXWtCBJQa+m6AkD55hswgGBd4ozrt12ElGgYRWIbsROHVS8VN6WDo4F6lDKZfbiTeuz/ZV
+911J1F81DjdWq53CWB59wP457XT2DcTK+jB94ZzNA+CxhfrEXTJfpmHc+16p7RFMEq09yWF75xx
Rz0aGT0rP9r2VvRrMn68DucgWFdyN7Q0OIUQcExQtzsnhjg4Wqyka17hMJ+oTm5KNk2tqDbKbjl0
lun7MrA48FHzs3i6goaWwPDmxB8kpiBsRceiSh6mBfBup9n0x30Ba1NfIeCzSHYiUDEudkmKJ9aq
KIg4ZMrs6rQ5lDY8rLLT9zx9bJMT94s113OSNMdi0RvYXlsJOW7tL+YpivASFlX31NAFvC0X76zc
5c0S7MYtD6Z4Py9PLkbvufCe6iS8jUrzoBp95hmu+bVOT04E2qdwgg9cIdeDXUzr1JpPXlEdIBed
/cw7so5ykTwKJi4RkKG8gG9bfTdW2HP72vrptuCZG4ZhctAsCIv4Ng3Ikg8gEaemLUF88EAul84f
bQL8MOBvyjI5BFZ858r4OKj0V+Jleh8Ib1vxViks/HLYj4NTV0+vyCKwvtL6h7bKbdDHR8tvois7
GnB6DqU+lVl448dFxeJfrTiLdmlZXMsuODB2bT2ZvbVi5tSxpT6yihkOoMxHiJ62PnQyDtOVnQXH
LOC4jttcgzQbmMY5Vk9LNkBOTaoJjbI5mWB+JoVyXjzlr8DDvI+awVVVAwNurDZCBCfJkhhtWlm7
XFvVBfG7IJ1W42qIeVTVEJ9mz2a17RPfwB70psCtcjUO7vBErJBoqR6GUU5uTL16Q33ltvlL1DXn
HHLaFl+32MqwhNDEp9FvRbQWyJxzjx8fFBZj4Biseq/pd4UVyo1FPcDS9dUdldHUboFIXjtTl9OL
V3w4bmbOvg5OdeBhBOk4EmfPIpee9nu70Mk6CbmOitS+8bIaU2bwPgS9B2+2QAfEA9f17c4KOnwW
/IlTcC8EjgoT3YB9Y94a+I/AtOot4P1R+4bsmXPxS5HWM68AfA5SJuQyE47euq7zZz6un2jit1l+
uV/04Jqwkn/FEiu0ZbLHsPlccHOwBoUI69Wk9qOWG2yH02wuJ9Z0Vb2DnOP8yJy2WUfYP7ehA5cM
a7m3XkpZXQGYh6AomeEcvqrOQ5u9S/Y4UHvIGc1e1KBeh2Vlb8LF4gIRb6kKd9Y1jkoZwme23tjA
1QyCA0V4QeNQa5Y3T6ASEH+zHCMolWHAuB03xUI+fhGhMewjk5ERxDsm/nD3G0uJyAVYO/+QjeVD
6N3GTdGtO/Y3K1f0m3pRqNbLyW9pQLQhRFhRsMsTZTaQ8c+xTUuS4/ZvNGWwNaHvc+XrcEEQBxox
GP9+sN/mqUuOrgRlwyXX1N4xbPRFI+xe5xEtO+nMSycATXvLdcLpnUygt5TX7xLh3bpUgCHd7oE0
HOd2um9Kcv3ukN9gkDrnyr62A+96YATLwuZZtf1TLYNHWmFeiDUfVJYN0H4VDkt/m2XLE2sEfyVj
dSdkDuWDcOS6dacK/ft70g7OiiBtz2VXvxXFTa26574GA5/ClD644fLVG//UKa6mPhNYQhkeb3CK
7iR+UBuK3zoxobsOiFFUmOW5GDenkW3syiiMHimfY4Ji+Wlwp5WVfHru68SBOAIXydny7se0ejvX
YXwNXvF6HJ2TPVdcroHoZv1YHYOIEkX+nP5i+Ee0/alEdyXtaA0Ta29JbtN20F3hl1oTD0Dvyt9M
/d7pu0C++5e40oDqJKwRCwUzCZQb8HcwX3InOdbDjQLlQ31y+zBrbVZNDj86mLPHxRPW2cYjthmC
pdx148isL+wbhJCntoyePQQOasomJoC+dw6luYyUFxTaV2CwYIvG3PS5wFOGnqV7ebBD50aqeO0k
4yHs1VMO7HrXLO9BEbyLTohjOf+ig+BYsEmoG/u2k9rcBAZDUmt9OXxHwKSLFaHAN4iX7UEP5Veb
8Le4KDVA1QNsBn64Rt/BI4al5rJupnAzBtEmIUPuREkbBpXbXLOilQWHaz2hm+0d9nwedEV0aT4o
cZO7v7CtpPzIGHR8d0DK89viegwi6xQoUZzDwXO2M3bj1UQcBQCZZdZKB7/HO//Wbvl/2taYTOR/
2xiffvbq5/LnjfFvX/AHrMH9ZlPv6pFoB9UA+d3+57rYcr/hMIyI4iH/XOLg7PX/0ZUTf2PbRmMW
SdhLeO2y41W/sxrovnJCj2y9EIKvY9f8d1gNl7/Jv0UQGXIi/oj4Eliz2Vz/JSJeJBqhrfehe9h8
gytjtcqFSNnK7eJPBCqqtim/YwjmLhshFqHi4yJacVjzBp+m+UuVU/d97un6wJldPiWTrvuV1EXz
2iNDwVip4u9+GYu7iIDWm6Jm/Bc5/ncfAevztx/633qy/v9ULRyXX/9/VixO783/un5ffv5bgfJv
X/PHIyi+geIISF2iMRAZjlyCmX/0r8XfLpQQypqcyKPhJrzUQv3xDAqHB83mC2NOUsL2PGj/eAaF
/S1ykSwuFBEezb/R1fRbxPVfYgVQWpuIJE8gMobt8DH5a1bST6ViHWY2Nc0wId0lS3osRscnkyrK
Q1YlWDXSMYcm0kNmu+nSQOdn28AXWgFXT6sDaiRHVpog1aywvrMe44ZbowvAmMX5JuL8dQwwDYIc
E9OPCq8r5cJDMhuCJDbo7tmxMXIV7CwvLRwjnWqtsVfSlfDx7Hz+5Zx/G3ucCvoXCb4YpQGSl+uE
3arxZfNemMEgWrNffuR1shnEQq14yRv8mct/ikk+j1nHsaDoNx6Jr50yhAVQLXBqbuteZacpDIpP
+MtAwcl4rQt3Tk9y9mek11DqF8gOTo1tsev2io4nyhFsdtVNPDxxptfVDv1z081ddvCTsNw1ltNS
rkBgaGeA97y7vRMvq1oTk6FLx32fZTH8aKJRsnfBhst9oT78/Y/h/7gDHs3tv3zAyEzo9+YvbWiX
L/lDEAy/wZ7xiTR5oedGv33yfv94IQjGgeD2wFnu2iERiH9+uoLwm+/zsYOy4rsBi1kO/z9O+MCj
XY3WMvLK9uVf/K0P2G8omn99wASR/oB9Q8gDCaQitJ1LKPtPWAE/CSo6OwLJXSmRMRsYx78sOwHW
W1E6oAXilHmtZDY+9fP8o8LMsLYNbL2dwcrkbOmhgvZb8qCcR1XULKlUTajTa63IAjWXchHTeTfG
d03Khuc8z461bHoVzi9/+onf/f4N/xnw44kL+OHPfxGkUdRMNyIuH8Jl+GtNIxk+T+BzxPI4EY84
mLTj7hoZzPWnbur53Iuyyr9yt4/PAm/tz1wSQ16n3YQ+kP9v9s5kOW4ky9rv0nukAQ64w7HoTUQg
ghHBUSJFSRuYRszzjKfvD8qsv0QWi/yzVr3osrIyy8pUIjA5rt97zneA+Wf0RGKbMlkuNRneAhEh
cqD4VgVOTvle9tl5Yqqb7PA1kXwbYiJF3eypmISeWVMn2rlgK651Fl4gEZ3qi1Z02BtG06R3Q3EX
0txGFfMxoCF3GvOBZp9uR1JE7CYZaWKGY/4BgDiZ0V5r0q6Nlpo8trDssm+VjvLBH/HqMJkFWA+K
0Cyx3DVxN9SbZBLaxuesEukXI3kQYJuHNNoyXERbMsBUcLdOauB2ipuwuo2A22dbr0qRp7fuoGk7
hcHIbpGbzCi003dKZ9SXIaLigbUihvGMUw9MbJcrNhXKCw0Sc/FMXaL9mPVJyiKoKCiRkCKby6rv
OnbrU7148pw0Ot+mCWFZxwwr96cEzpjD0Cu0uUhGXTe0BixyoRmnLxd104efJPLqWzJTUJBnk0CR
na+9YUSldFlBw47RThiLodjHuyZCynxdqY2ZEKINOXDJTR4PtmaHUyzfg65BkplHo/2zThuv5SQy
+ipZP2C6sCPxIxQkXJCsxtyym43kGnJpIm7KqRCX9ahGQtSykjdg5BeDbW8wabsJngppjst9Cjp0
fOeCTGeG17I72U/4qm7MHNYc+bUYozelPQibgBLMxrqljqNHWK46qLzP8Qg3jvxQQGr8Fo9AWrd0
9WlxJqDurG1ZrNpvqymQaUWhVxG7kFpTzd2L5tD3kGXeLEWEdtBYjaeAZAcCggwDUcKBzdPQnJnk
Lz/HauJpxjlErJZJ6AONXDTx2SZr+1VSNozRF0bAyF2pTb1PM2ZX/p6zLCu/OC2RD1kV0VdjIp33
ohsOFLGYYY10FmJHv47djx1kajWuRKRrgqqAtMiXNmMYk8GNGwlxORhOD1c8w7GQbLFOjY/IVzAf
N7nub3GptbgtBvSfQWLpd6iDlvHeFm3yMclwckP6m8bPDrL9icrRIIAGhS0eCVkQ5nacDZwXGOqq
6idZrNa33oCfQOBAMV/kFZk1B5yt2c9Czt1V7qblvRLDNm175isDa4i9yXiJz2bQjF/zKFQnmTsJ
OnCctYiQ9aeOyMj2YoGLeT93NTebgD7CCcqq+wZti96YR19o4f0mHugkqkSZtB4JYvBdF7393FOg
HIy21h/pYA+k/0STF2+8qsoJMfIGHP4tzjQfNxx+ryTADbu1yLamZWmw9ffTwbLn44wphmz7tp5Y
pCzD/dn2mZUcB673TkeqjPe94XaW38pe653ZNGTMGKzdBU1rEays5RrNw+KBgPcbJ2u/4sVuH2UR
FgzGMjM4rdq39JCbroFWw3a6cjdkYbh6Kyxxj9KKl5lpSQ+teQmZE0RjZKCmG11QwIEoCz+YmPt7
wgnvSpvNpG9xvBTTVkGXEMVHUvqD0zgz6kYeGqKcmu4xZWnFdS5wIGyiALb/loQiJjpdPIz22XTz
3G/jieR5/prerQrSx3geKYqAfiEwmaYaDVwFyv4do4hkIPM9JrzEanVR0JCZ0X1gDyW73amJcdpM
qANpoth2D21cTS0jF2XF1m0YWA49+TzGHmBaFk1llTKK3xX94Lj7LkWLvffw8V9DnyQvzECJzhVy
R1df5sTcEHjTZOMXIZroXtN2xN2apeq7QHI7+SYS1eESA++Yf1cxlgCQxkLBaw9ot0N5AbGdNcJD
cWPEGXDbhMnxrmIKf2Y6QPTWqM3pS4qy/iqeuqrfsjCja4anR9AGRh+GUx5LVhkrZCCED4r3Hv7n
M/q5+YEBKGFcadsWd0iY9I0bpeJOBFP7k+4cLtahmBq6crZEZzz25BMGbesStc4Mz+MNs3n9O2av
jZ+xcKMtGaPwJsldPhUlI08YxjxdyDeD0LrUVdd+mVGcu37Re/QXIf/gv2yA/GII6NzuIXZcDFkT
rCAe9oER7wWywMXkXxX39V7PQ/e5jmhr0kJJSrjxURpP5FbJ9BsyceT0xaD7ZFOXbZDsMDQ593Ew
80/TKB70qesxEODwsq1bEj2wfMvQQKXICA3ZOvGm8HCpaIZoE/KI7dxxbLtt1sc4IwbpyPRSNKV3
OzZddz/lEIXwB4zBLdjX1TkPWAOhaY2z4E+gyv9tP/9LuMBh/v3286osuh/FD0ynv7dAfv2hv+pj
8w/QjN7aAllzgd2Vv/NnfWzpPzDHKtdDfv5LGMff+UcHxP5DSg1qDHICdm1H0rj4RwdkFcyZIKpg
+lgUtuxZ/8YOlH/+aWGJ7YmqXbENhq0mbcrkpxWyIQ30X3bGh8weTIzuZQNGg3XdaTes7CjdeFOn
zw5pe8Lvh1kkmzAZMsVsPevCi8wSCd49TPr+kFeC/Frc1Mzhunbxk3jGarmgLb3HTJ1am5zG9ffU
1iOTpzz3skspunFHKCetSZTJOLw6p/nhOpOYDiSluPucQG8kvgEUkz6IcJPU4TjcOIWTVBvMoKSz
OCQlPGSTJJM4rhGj9nW9RAfdOxquPOrhrTNW9kOeo5GiBdpPkvJ+SfAOTM3n2UJz5dihpphp3fYB
lIEXE3BVNsbWDRzQyU5VElaQwfOmEYudiU+QBHZZhehqEtuw+TY4zg9Vw1faWk6Dc7FGhr8leyYm
Z5DUkE/d1CEN8eyu7Ag6xQe5K0bDyTejlNUlQNL0pE0G+cQLdUIfEI9EF3aTIez2Fra6F84swvsM
kPspZoyFfxu7Ht7x1M6vU8XAnAJKq09G1snHtrVRK8z9XJ5d9AzImfoShnHnIRj0K6/0rVFU87ZO
Vmc+QAFUe84ohltTM7ba4K0fHmoaBeArwnmmPJbBWqoHLa2u3tWcROXM6c8UCsnVJKf0hkhh+6ss
cJYc8lyvyqYSP92OPEivuZrD3DpR3grGpllvXXg5jgX2fNNd6bD2+cUy5UeRws7YUKkhrCQjr70t
SsjiXo/FoUY0d6mJ0X2srcr7oEQH5Rn/nX3CK09wbxZ7BueSdQbbe+m9cyGWfeAB56PTDyqYfG2k
zD+NoPBw68Dk8XZdg8znGplac7t0zXJmPK+nnUdvhTAlHj59NNzK+gB7zOLxl1aI8XlUoR/Kuk78
MGDQyYwy/GLibUhWVbf14GBA+RIjkWVoMnVjss8YxZebdHA6taVz7fI5nz0DK1TlNp9MdGuoS7p+
ugpTTN5bapVm2aRl2r1Lwy64wvlhcgzPiYttwZZo3DKNAwxQKLZLTMLQ0Ef9ssBJ1316y/gBfaSG
I8UA0qyI12M36CYbYnZJXRrD0lh7khifNtJgKYGypNS1Lox16l073Y2TDIRGV9M4NHRQzPhHJGAE
HRezGq48ow1P67b9whWQn6D5w1XelSmRsafSsatjW8KR3svcSvB8FSE4f8scEmhUvX1FLJi56yAM
3iX01ZzNmASIUufYYeYDC8K8y2NwMcfKNgBd2QnuNOgPfEhFjRL5vsvdFf2HiF79n6477ubj9//+
L2tFYf77T9T7rBy+fPsWPW/h8If++kSJPyRIMpDKfAccD27b//tErc0d2uymQ4eHjrxFW+Ifnyjv
DyT5mv9PAP4kWfG3T5RLoD09Tc3GHKysY6q/84niDz5vfgj+NZqfINduqeQ3Pv1Gte2cQixA/Rsw
rI0+rXsKcvA8cyDna1gzvyo6fWj6aFdgSbZl9l0nSJKQLu1wThMzQzYENqlfSWIGERyHZY0Xm9eg
sWAU9ady7EDtrDFkITvuD+QcUu6RUSYr/IfQ+nre7yq/p/+CBnEg9o0hWvoj66rkPDhp9BGN9/IO
LPmO3mJ4mevFuCCMbvLRTBbfxBqbRlzN8AGbE+Eoa6haUHXGZZW4rE7ESfEmuWN+IUwMYXMN4t8h
m60xPwycQxp+ziJ3j7nr25gUt17K4P5Dtea7AYcHhbpmvi3sa1Q/Ot+RUefvHTYZNyMuzR4Uveiu
WdXk13AexLueZJA7N4nUx+JXxBwIWxKR19w5SAjqLkEVigOMrJ3EJHKRAqU7VTYzfwkaACM4fd4+
0RfBmmxXV5naQ81XPikV9cU4yuAj5jHnGr6ctR3IXwXmRcQexjusMuaGTvsChCx56N3KIAIR9sfg
qzVtz66rEdEMCXzlmsXXr6l8iCCDQ0DXWrXym5VKBuGjNd0WrpyuhjXTj/hcBrMOjquSvD9tVxaQ
9jUCEIPN3Zh6H0QcRNtpDQrs85ZTWMMDIVu1pxKT4K6yyBPM84qNJdF5mtOOG4mQThX31EPyyluj
CfH9TQcXieLlJCARSZvc23ENM6Rl3cDlbNVDsiYdmqG8hcoW4OVz7csSFv0hiGP0dEh9q41eAxNn
1JJoFYvNOOf2BftE4yTWgEW7scsvJGYrmBuwM5LmThm9uBppYW0Hr/uJb5nIxqzqrZt8zXEsWIiv
Jn4XVDSs1AqV2HmZ1ujH0umyd3rNg5yGgQiVNCwOmPaQga65kQNlCKNzd/yAxpq/JEPg0cZaJU3U
MmxMwzOsp/pUsUfcC4m2NsxK9IVwj/JamMAK6rVx2LD9QR0/nkjgFXtlR85nuCc05qPZgzFRmVdw
3Cbf7uIFOA7aZmfNy0xKXWPA1oRodnUCI9hIpk+FmLCq06wihH1FHA0zGZwDYZy4CYgzn/CHHXP0
KJvWNh1ioDv3AsPgKhyR7k3jrSSLbk36LDBRbiG+zTQ2yAGlRQd7aBLuqV9TQg2M9H4Tx8FD/itE
NCFOVAyCXNE1YbRbs0a7ymKAsOaP4htvjkEQm9ZqBITVklXW0TIbex8m6afR7chN7dAqIuw0/YyI
04npJYEya+4pT88XLzHATWAIPEUj6aj2mpOazAU405Hs1LZaikNEYPMWFRcSmkV9Jh4ESZ655q7S
BaD9J5Jonw81GbFrPiu7RbZ+v0JbF/wsuwXt9f2SGpJQXtJdyQxp3udxPJxMl+xXoHnkC8fDcJYW
ybCBWENiR8u7Vwm5sbT31ggalKiFXmNlVUDCbD8KaFRr6mwxkj8bIfqinQD2ypvCZptZ5NRKjMhn
LSrx3oiF8MPMuRRLeSXXfFuh9LuWwFsjbnu/WjNwXWSNl9Gai2sQkLusSbkVkbkk4cXUKaToZrzS
9Fgmeh0jVVeGYX8ja3J3m5kEXsNA4ChgJezCX/m8a1KvGTruV2dN753aKcY667jvoZIRFwKx6BzQ
ASG/bxw3NR+iS1LtHd6JLqS8XjOCy2owj7Myb0Mr+RqLC8cxWn92xd7onc+hcaFUTqj42sCwU3c/
VfVXx0EVsKenejlHPfO3OkfLVhix8Q5zxHJj67nasJ84psboM/nA3DtQ2pg4XndEy1R+1FjBfkB9
fQQUTwOvHR+NVCKxMvNtjBZ2zUCTm2yBTxkCQqOBCQ4eUKpIhzNpKcWxV5IKtivEhbe07x0d38yW
gtUgB+FDJsyve5zQt2Mfh49mQBhuL3Bhk6FCcLjUt+Dq7H2jijWB9GMh3WMtxo6UNOGdRscDbqpP
Jluu9+6S7K0o7Q/G6B7djjRFNjRn+CiAxOYQnJQZEgkU0s7fh6OBgMz7aSfJrUQY4QPRCdg9UQd7
CF0M9DjXgFqqk6PieufmtFZQoS/faNzT2mh5TxOFg2rlLoaK5oSRmvDzRKAkTeeWuz9XPxuRfgLe
A3PayMU9Sabh3swIOumm8UfshOyFXAt4nxNkF4sw5KdYxaSiVPR2DeXOtMOc81CF2i+JDEa7zlpF
fqI8lXzKMTu49T5c0pquTn81AS48uXBRG9u64yXbW8hKkArGKZ6a5drSOJh6ALSewvbul2Kwj/OC
AHNDW6jd60Fnh2mg67sHG2vBAimjn94QDA/SIt4pc8bx4C62eV2O2WeEBPYhxGh+VO2INipqfg5R
xsAy8ho2r16p36dV4FDoS3PbEuN1NpC+HgCsIPUzXQhXgRHId4TAOteh11e3eg2sZOBE7jB7g3ey
S83DmHvq1C/sHRgjqH2NKeq4zFl5BtY4k7m2Cl7GlilBkxgP5hDRXy7BEc5zwteuW2L0WmbsLA9e
GMOT1LpqfzganOVqfhC7hpbT1uU7QUtUQjQB8nPyCuzZGdCwDwnAvFsAlPGGKnX8jv+qTBFQOOE5
YaR8lSepRi7WbdmxX7oEn++dXF1IALV7UGT10ezAPeM83jkJABm2L9/T0eHC8sk+ZqadXyI1HXz8
6TTOTDIKGy6+u8Esq3zTNoKbKZnlRU2RtSO2WF8MmQ4/t8ZCqaePJHMwzJrPcAk3hLbuFcYH0yY0
qpLok2kOp3EPNKW4aLzk3GtB9N7C4j0adoS3P7uS1YhDGS9gOVQOoiIIhHYGjCzts0vINc6+JhI7
7Sd4FEF1Nw/KJYZUkXGUj3Rbw/mbYRrHgJ7+0tKDnebbuTvHHcYrDLo23AM3CT9NaWv7ciqvCCG6
1iEeldaYz52k31DyIB962TwiRMfVQpNjNUcrs2mJRITlQShdkAP0YlixZZtrHAQKe6uEZ2dmF7nh
HLN5WZ3RJshw71sEBnsXJTzEvCP7eAUVICVACQ/4o0/Hr7XxuauAjfKOWtOV5lO2s5cm3zQepCOc
xzpoaFBzJafWsvdZ4lwmffowhMA2VFbe60hjv3GpusISpHRWHeLixptJuC0XeWhD3C8zuBNmP+Sr
dbOZwycavjeWGHf2yFDDNFCHQzjYzLYmhZsafAPe5miI4Fs5eB+kOs0CIgml96awIWYYZv6uIRaL
UejZrlcCHNc5yDqbl4aFJmLPDRWN0RkjsFUhhvfHiQ9OaN2DKsQMxSh4YT9xE0Tdd/hR5ymCBJHO
ufJHN/rQOQwozB7gV/meyeT3oUElnNb+aCYXUZHWm2qAyUoiGtBBcv1sGd8FiH62S5Xnl4apqr09
UPz2WPjnuSMT3MxPTij20dq0YGIb++1IfZ1x85l6Sf2e7sCWHcGwrZSNLW14jGw4SJVl1ZCTwz18
kOsQU8KGWSFpq0x0QUU/FCtGgXnAB5g1p2TaDRNr6izz7m4KE5xS4bHrnfJk1ckElSocH8W6dILQ
8KqvRmffD1hcoKxZ8aXB26wpdipYevPUXzRNfV/JGLtTB/Mvx9A0JVlyDZOxIbS6kBczBKmEDCrh
fYRgwoQ1N8TPbEnk5wzS0kQfLJrzExX/OiTv/Dqkfc54fptN1XXKo8j+Yop2MgPjC4OLGa+s3ebH
wHx0HxLnvC3pRSnhOHu7dhd/NgnibuKC0LgGXAm2i6+c3SkzjKt86NTOhZJ3Yw6oFjutBn7MZF67
jcSBGS/ap53VQKXu612jIWWned8+Wkk7bl1vWBNprX20ZOVh6GrjbEgGoO7i5VekX6sHUJKQG5Wq
DqJ0S7+r3s32xM8m8BfEtCTWvE3EJhbgg5LuywDdJ/P0buQWLqaaL/XIhIpgNyTs14gZT1Vclwh5
ivjUEoQ3D8mnuenKm6STuBTS4URmJ6sTU204a6Hfjfo6tjzz3DoDPE4691fUJWojxxFfqT3tee+u
Zrf/nJqDQrW6XEH55aNHJ/k4JFl30S5jcuxrfctnQGyMJTh34M38rKynR9qa7C3q8QdMYbxdKgTX
0gWnYSwo9htUvyM5Z5T9zXQoI/sqitt3XY1DhJ2k4nWuHN6T+GM2uHw/sNauPd3gZjA79REyXsgG
3WN9M5zWj4zuaxbHhCfD8doTo+PuEb7vYcbcO/hICzNlOffUz8Hy3osSGkSpd0UcM4QxyLhQDGob
oQCKrXOvHjbads7mmXRagBWx42F5gNDGC45IfOyWO1JMca8W2RfS+zC4RbOxSxNFEaG72Ddj2A9o
Kg4FO3n0oxmmCglVGfFtihncsAbia3W19vqq/BG9mO/ajgWWVEKX6eGbG5rFNXE/CAsqZObJU1pq
uo/eZSRA+/SePR0rC3mUu7Cwojx6N8wq8hcprzKNHVL0eAuNSEEiIVWAPI9PAU8f3xuVXTUlsuoh
Ft86AS3P7G763Axu4aLcCRmj/XY+iaSGMFpQAeUwPTBeBFQmGGwjy3wkzlEz1i6ozbUIfNC/Bduh
8gO0C9xvUWRe2QqtA0VvdqDsrMiLzedTC5iXi9jTI5bga10p++89U2qe4qmaaJh6mT7OhZF8XKdy
V9Jte1rTjE83w4KgI6lm90uRL+LQKGco2BGl2UkkefDRWAb7EeI7FgQVG2eiqfF1RGD2k7AvUQys
xNwo945Ns1QPoucdw55tA9BUEx5ScC7J7bzCSqMEL/yEI+oxN7IR3J8Xf4ySjsbAwiq9cdGc5vzv
PF+r2iZB1szUPfrub/3U5keYyvmpLsHupjivdsNMeQz8E+ZeiF5egNvGL+w4R9Tq7s7tSvcOziOi
oLQ0j6x68X0h1drKNY1rb5n58rqdi1YscNrrzhY4jrVpfBmDtLvrO6/ALNrJn0bOvi9dZqKocazf
Y8otoOtnciOkXIpNzUvKdC6pH+NhMpFqL+mRl3G44YUSzlbMOUSmCgsXZsw8eM+43MDzzJzTV1VR
vxubMvnctworF7zYCxkRAgAtx3hXekSBa7YDW9Gyr2+qQvo2IFm+LYHeh2ZgHnRCEkNHH3nvWi4E
hAqX8523poKOjcIyCBXnTLz3yi5p1Vem8u7Z6luG1EnJJCNi5M9EZOCgC7Ekm8G2M7+vFz7jU+Hk
sV/pGTK1obF5g06Z9jh0m33dj/qcppM2t/kwtlQ2bkws/OT22MtS6wbLRO0PrgaKXgTtcM5iqT4B
ajWvIAx123mQDAvqtD6lxFPsmtxqj6JgGpHHaYCTRSQPUN6+1PTv7iYXpblBB7BEIX+ovag5yoDY
2wx/GcF+LFdpzXSXW+j40jOp/sodDN8dciZMuxiDYpM2XbCA7iZhplu2ImeLr5Z9mg/82Oje0She
iNzZkXJpfZeMQk4U+t4OU9JyERvwWZgIVQeAEuYRPbP9qah7AtKBkIFEByAMgghDrNkYtwWJEiQy
THl0grITXzSG430rzbIi6LUxvlY9qPWuFP1BrURxv4NA/KAZgL0H5PQjMTxWKxc7Lmxs+x1d+mID
H5tI6qkJb42AFgNfe2Nn5aSe1niPyH4a6zt41e4jq0v26OHJuMfMgX3enKJDKVr7XdCHrAGZZdC8
FJ5zXGIr+1DU6hrZAwGdHfp5lKljML5PM/SkW7Q2hkd5JZA2wKjLr62psh9tTBJXk66xYpGhyg6s
BBR/dDDg3iDRGV3fWaNI07Jf00ccIzm4UD9vQzwn7/BUMcPLwPZ8GkvHADwWy/DjyGcL1T9LwvsI
0Ve6RaRvWrSZAPj5kM+6c2Yn/8l04FXh5hPyy79VWv8vpL6IVRT5ynRg+LE8nQz8+gN/TQYcVNBq
jfXybJe1SiOQ/2t4jbhTIwhkeA3zg2yEf04GFLJqgGmK4Y5lMkNd9dv/EHfKP8h9cwlBWafbmhDB
vzMZeJqoA+SKH+AyBLf4l7nmv4g7e2RuhTd6sJSraaZI6927LEWv6USLuADCEfwUSan81pQsfL9d
oxcEmZzCb3LMPw+twdww4kDFqlY57O+6UpGHtdemeEndRjPYFk51FQ9tvNOVVZz+k0NJ7oLmYnJB
nx7KxFlsiYWkEzJQ6l2eslWk4QLecqBae/1QT+csf56VZ5JdJ1YZlLCfxdNYYZY2dstZWXHknMYe
RTfdlfmNQKKXbpuH3t6C0KOJc3smekcfGCbAKCQ8A4VvyZ7pmTH5PPV9UR8DoYeSvWZjI75JJuuN
M1z/3f+U0f51hrDVHZQTdPPsZ5OkvhYqA5wot7XRsTnvnaY45mZW7ofcNlb9DkHyo+63r1/Xl54W
jCbkuq2KDfrCT2+hl430BBVHjTucx6E5w1Ukd/iiatL2+Pqh1lv07ARxb6IqsfEcWiCXnh5Kd1iY
rBwbVC0otTZNb9t7pSL3TjX0SpxVchrpLPA9TbhuUNGEeP34LzxCPDjreoApENvFs5tbxNFaSHJz
ycZJzqL0GIVzMzv5xnGeUsF+3UiOwwzaFCS2OfLZcQazh7SUJBA3CMA+Vkx/qEJUe0krA/x+Gek/
hf3/n0Gkfx3PUSYvocMwUj6/rsaUMveHD5yic7tQdLUYraj5QXZL8sYz+sLTAkffhHVG007ZmsHq
72sLMUgmzACm5Tgsv2VN5SLdzLo70hneCm986WFhgIIHi5JZcsOeHinANd02csWWzLpi04MaGthL
aF0Rbdves5ue9HaUVfSBrHrrsoY4uHv9aXnhdWR4DNnNUhC7CLB9+gNcA7KGISJJiLgw7r2AStYl
dOlYd/n00A+t3ukASMTrB31h/eEJtVbhFQ4e1FVPDwrCm03OLwdqjC4CVjVaciwO+3Ci2Z1WRo+v
kVi4qo+bn68f+aU7a7sce5VvMTh/tr7mQzz1Xaap+AsBKsXq5WHJUiRONXXu64d68SSJNkND5KA7
fv68oj5mDbVoMHfKK3fYkJPjpCbra9UO6iqn1sRJD3ZjE1eO89Zn5IXTZPWxcXywTzb1ap36/QFm
E5+EZiVpbtNNRUcMubC1vNSPLeRNr5/msyDUX+8lvhMX+QJ+EdwRz97Llhzd1DI5VtiAL/bqDJFW
sfR7PqW4Z+fsMgtiAR6nVu/tvDTJZnG/GyZClzd+x3qcZ+su2dJ80fCL6VWn8PScTe0BjI/4HZGN
yCwKogc6t54fR+yal6o2d0kksfF6yWfEszUjKPPH67/ghQWREo0LgnMdz+1adP1+0TtCGHAjOw7c
ja7eTYZMz3baR3vlkAad2k30979ptou5Bu0ipQkZu0+PV5H5MDhy5AErp3oPGxyOsQxjPzQN/caz
/MIytbpfqBTkr4Lv2aktg9GYEtDYNgvIhSsxdQiEf/P4HgE3M9tcKrY8Q/XDrcbspqFN8vcXZByC
oDpQayKPcZ89z0gnzLYgRwpgPVbsnnwBqKoRYlxzrg+v38UXThV2BnUxZkSb5/bZCoHEeChM8iq2
Lp+gm5m8vJ0bDLCAxogklhBMrJBm6KcOKB8orLX/+uHXpe/ZU/z74Z+LQatmAbE6gzFom/WRJZ+S
WcdcvnE/nz6qvyp18LMWtZDt8lfy2aNDh3Ss0HNXfpFZ8cYWxAm6Lpv20jMDP0hVen79rF48Hv5O
vjAunxvkSE9ejSoraK5ljGtV0RDC3oDioVXC7RzjLx5zkDdO7+k9/HV6GiunVhpVLSTqZx81U4SB
mbgr9r5Cx54IkqqWRXxJKyfYt4NpnR2vogvR9+Euos5+Y0V8+kn96+h83Sz0fGy0fjnifnO8YeWg
uZA5wLGk1bEazTaAO9WeelM2fpyNlt/I1r59/Qq/dNB1k8iTKxw2D89O2epDZAVW0vijBQwsK4Av
mK1DBCCdrp+uTtI7WqPjG7f16Sfu15l6pjT5xlnYC71VBPf7ihcwmdAgsRrEMLAW07iUF3GF2cis
F5dZE7jmjReKnvFvZb9xkV94ojzeTninFE4mm8Cnh+4DZp75NDR+3oH06AwjvITBAEZlcEkLpj92
fP36vnSquITXepATJkT26fFcrFuJEGMDpX2FRsWhe3LlCMh6UuoyK8HFwxYzmndV2ok31vkXT9Wl
amGfS/G7dgB+v8pZZJAbFHFrZ3dMzm7BgCbquukDGgSXoK3prUu7Wj9/W4P+vK3MJFng6Jex6D9b
As1BKHpca0x8ZXv7IlcSGUm0WEiS6Rrjnao1ej8XrfrieNGPqNDe7WozOtqBPfvWMLpvFYzPiow/
fxJdEboMqyGVnsfTa5ASGBXDosYBlY8PvF9674X0GcIEqFDnAZGbmFWA/7dhj5qQoZJxtGlURv0b
K8t6nH8uz3/+Dpvy3/tlJaB6ffo73Di3nSFjuDL1oJo6b15ODIz0zsIw9cbLtT5Rzw+FAZfOjnJM
iopnt93wCjMah6Tz89D1rlCKMyhDtfjx9ef6pYcLiYttr22idRvy9IQsvnQR/NgOSBU2bxF7GYDw
2Xowe9XvJrOAs/L6AV+6grSxJFZlR0u6AE8P2AVRTQZD3flTkxX7fjGnE3yK8TjaSXR4/VAvnRuu
Qf4Dc0DwMD89VG2HBaYeblaW1SjwTbe4WIoOvUoIkTTEebd//XgvnZqi4bZCCyAZPHcIt82M/MBW
LVOgAQOrK7uLSnngUEWQvrEmvLQcUfUxvnTAINBGeXpqzmTSPYHC43elEruWEcd92WoCE5h1YzJi
7paQZ0Jm5hSkb9zAX47t5w+mojpi389/tfnsXQSk5ipIOK2vc6WPrQcDiETdfju7Awh8w+jvYzJb
v80xYcdYRjzGLWGckvZbMjmKgiy46SKz3eZT6OozfoecaB8jCo5ktDQoGtxZv/EmvVAOsAmT0sNb
o1bF+9OLFYg2qAXgBB8hEfMhPV1C5LJuvaKIbqZw6m/M2LC/xO1cwIsGQfT6U/HCcuoh31bIt2Gs
2DyLTw+fyWSmkbm6N6MULSkpRspHnCXDHcZVCIKICcH6GEHrfakaQ+1IOelwFDiJPnhZ0TwkcrE/
vP6b/vWK8PFk371W9JQLv5bb30oUp6rqoXNBPgaacF036vUmStwO3NkoPtfmbD+kItN3edPOd3MV
q0+vH/5fn9712w0KCJ48DexfjqjfDj9grRsxDNPwQF65lTBkt1whGxlNbzA4LPXFApqf5JqmeOMV
fW62okftcUSlYapJGqxqXTN+O/RCH8V1gK76XBl1Ucl2OfDBMu1DTSTFT9dY1LFVY3ieEBYRKjMo
cWPF5vjw+gX415XCg23Cum4rCYLHfLbqAp+xlrIgZsQ2KnfnEBPFm4q7nLnMfPxPDsUSSuwA1/D5
08dbXJZdsCaaLE73FYiJ9IMW7seGt1G98aK9dF9hslB2MxCw3OcuAbKM0GjbyDClKXBDJsFYZFu7
QzZHbuDybcmBTtU1UiYqNK95a2F66aHmc8kK7AmqD/3syzIl5DSkXoTgOI3EOVCR3sYkqm+JCmUm
LwCKs4s1LlJtRGdiry9fv87rg/N0VfRoLlMDc1PXj+mzyoAs+xrkJRlwSa+L67Aa4MsukRLnRZrl
hQWE+Y1PwAsHpOhmmMOV5nDPN6rAuTrgTgZYZ9WEkNhRF2XtJK1tR5zfOQ4tjFCvn+L6VD47RSof
U2M3ULQK9fN11K7cMQ683B9oLu16PthXxGK59Ona4JxUNICh2af/wRsreJRoMXNc9nTPPjdDWSVa
QAzw3Q5omJ3J9GqyWxTc0mvuDObBpxo6rrVDNkMOCUCFa9VF4/fXT/2FF5YvHYQDWrWMEZ73dlot
Cq8NkfA0zoADH73KwXanHK1+07yxNrxwX/k+MwFitkbrcDX8PF2hrPUxbZjPp334oxVecSqIRtnY
ndnsZJss9Ru39aU1ca0x2desPR6cPk+P2GaiDGddrJmDYoDUWXfEs+sAmpY0gpl0Fmf4XLOWkm9I
D+jQShV0wH4DN/P/9lXG/woiam0M29J79g7xdwj6lcBxWbvx+GRewwxscv6Hs/PakdvY1vATEWAO
t012mJFGkiV5y9INYck2cw5F8unPV8LGOSKbp4kx4AQY9uoqVli11h+wfwsbaouPg+2sZoYKq8py
KKFxFa1HvbjG2FQDDJ6MFv/LUBTGh8UW1i3zvN84/LFmQLr39jim/HabHYSwDE0TD96WA9drHdOy
gGsns1T/zRrtgxitMODkLn48jrJzDFPWIYZ8llPj3owsrfjl1mwBTgec5c+9kT2HKEL5iIagdW4I
/h2aLgNIUcmA+BfLl/SXE4Luk4FM13qIpQF4wpoc8m0j7N4WdTJiTDtK1wdz0q52XC3/BQ78v42h
nQ9JFiE7mdTaWcHb4fajU7UGZt2uA0EY67sGSVBHfM3r8C+1G0FfRaOiv36psjVh6pnUmy3V3Fw2
Od64ajFT/sN8dnoqMs9918NN+liblvvH48+5cyCwOmGHG3KdMrfrGTXqTquVDJd2xygh2jXwuMuw
UN5oiVuA6a/Kg4xh5x5FTEqz4KmQLbnbnhTfyklRGerO0GHw/0Cd6AOP0dnxEyO2gYBW4m2rtRUX
DTJm52WenYNa1v4PAEb0UxIOs5r1gK3RibnI+AEYuJff2jBHirzhHeOWQ/G2hp2LBwA6x0OJCUfa
6l9eP90uUAYLgqxBorKJng54iYuh6xCypUXUY+6OjkZNW3rEhPWZA7+4Pg54/0DQ5SuOfUqBh3+Q
/kC/nvioRamGBbQ1cFG8uCWIhfgRQlaBqkyfy7QEUxoPMB4X0FqTUqT/mQck3lLMsoJGccf3j3/N
3RHFj6GnC31UNYGWbAvQ2JE2KI2AnE4a0b9gP28Fs4tt2Ouj8EzkGITzxIt5c9KHXlbOmbBd7GDz
5ZLiEHZqxvaoN2UxcavjVkf6DKUuj44wjfjtfYJujKovEYJCUxkXfgF5+klrLYFKOvJQjwd0H8qg
KqhjvkOXgpnbHHt15HC0IWcYtF5UfhXsDKBjnYPLEADcV4ci2zPp1ZJpIyCzOXq8qegpuc0IwIfR
AoJUkSwSuJFlj5i9OacHJ51c7+tJ5BNZsl/r4ehEn3q9Oq1WWiUI04AjZn9XinA8WwLmSAt88ITi
kHIwkXebn0h0z+RrnRIKJ9A6nIYltrE4EyJQYRwHSYmFEvJeOBcKa3xRkQl7BvgDbSzEpP02tmD4
jrajjLAZMNAUh4MaBTyy3E0C5tQVAHxzALjKAdshjhTasHDCyfwSS9UYRKJb4wt6TiadsKIZwcwh
6UBSPGkA8AycidqDBE1eYHc/iCeVhlYmxc/tXSPqBu2OvIDlgX3nN7dGAaTto+aDHuUfZ6VbPoEi
6f+OJ/wtHq+0nU9PKoo6q2db/G2LRio6u1P6hj5UXiXzs8gNO4Bs278B161c0qWzD86e+zIvRz6i
hFCBdLBltBTWH98bFmOYBnsJKKNRMIGkQvpQLC27N88HKBKdVfO8xAJRHwO4CU53oo2U42eExME/
o6pT3Xs8BTv7ml8EEsSgcyU5+OtfNGuDXuDmqQY6nC0gwyg+1Orsndnl/7W9+3/zmPs8XMJpuOal
JCovne131vVSg9DtzvByqD2kbowkH+SEN7gglZfCo5w3KmN5XhYxBwnC/H44d93rPznZqcdLR6Kz
7r7AqODKMJbGHAyO1jxVIaohemgCM254WAuksQ5Ol53tTiWRlj0KljjTbVFESZeLBB6OGhgmmuKO
FTcvmtLgiYRQxt9aZxgNpEQPMW/NngQqiaNiHnzhnUUOaEGmO1SkKc8Z6y+chgnV1IVFTk0se9ZV
hLQmVNh/Lyd9+VtU2AMcTPHOdsbbgYo0ypwGWsqbRS4KPUMIIdSCTFFFDMTaiJ+NApqqr9gWDpc0
gly0ciosN4DHoeZ4MOCdKefpwQ2ikuMwZPn7fimBxSnOo4kbq4HiQkNVcwRkkcnK7WttD7V1gmnY
fsKjILxiMLL4OYSjgyN+Z0+RYJhMuIsizN0EmJhug0xsl0CIAWOWQcvwP4uQjDGQGH+8fXdyKyR+
KQaBGeNsMba55BSNeebVrhlMA7TWIKsX44x5J45FUp4XYrnztUMFBsk7xb1luYdADC7O1ru5RaJf
WH388vgH3X98rjSDuiOK22QL29InZq6ahjAevBaUh1+ixJ5wzzbROhiX/Lksu9of4nZElr88mor7
xI7KFOVeLnLp47mtOWJjg2qQN1nB1JnJzUEu81lhSx5gZe93EymQhB3L1WVBZl4vrmSmtV0nphWw
rfRPLgZr17SRVjgGHJoM/mZ0sJrvFxPhSFkRK5ci09vGrBJ3oJ2NyA7GBSH6ErnOs2F0GMHVS315
/O12Q1Hbo9CHBCyZ3nps6Ci5ipuXdsBlrPnu4LJvutjx3ck5OhZ3p5HsgwMJ4TLyynWoJWoTRYtD
C8kf4+00pNElgQB7Ht0QomKSJgen8N6qJLcDCkyzTFYN1uFUXRGLrfG60+em/gwgWOo6m7XfI5f5
sV5wBCs0I7xWNvILj+d0d6AOtS62JvL0W/zhQje1NEbBnCZw+sYa96dJwJoq+y6/0S856sbsxqMf
g+w3Tjt3zXQNCc45og4WYMYhbo4tis9eZPGuy3HZsZO6/evx+O4PWwprcrOD6pEqPpvDNi2iJNcy
4gmbCdQjI8F32GrfigUWc+RleI8NNRS91suees06emftDZfGJ2UuzntqJJvtiIEH1u0506ujg3VD
rcG4AmmKKMp75vMywcN5PFy5BdapKlpDaOnptiUBW9sOQD2LzIzGFmfKMG1fcnrYn5TONsgd+zAw
ut65RHZ0lB/vBuUpB89BoyW/rXcZC55NllshfcbR9uxFRuXHKcmTpEbdZoTnrqLu9cvjke59WIdn
JW92Xn7Ibq+3jIaxktfAYgw6N6xaf9CS9tKBSTFPWjza/2RqBH9J1TDiVpoEkz2zdeLPj3/C3scF
AEiplFuUu3yTSPTxLJY+1q0AJQrUFiZjPC+aEga1siDjM/RHL6O9eNSheJVxjVAM35wSHvZIeUFp
MVB0Y/6hFql2Ae1ZfdVA1hunDh21748HuHPgUvYCJyBrBDbosfUcY89TV8VgGIGA+c7FCD/LIuU9
R87w43GknaFRKsDnmn1icJFsztu0z4pcqxYHB088WrsS50CIogkUKz9tYOm9OhqYaxDXZCWAtjRj
Pa4qy5VpSVQnUAd0wweDkoQzGFqAmEIbdH08HiQd96PjBIIiA05f1g28Tby2CePCVnBinGYNGiIX
tC+QzcWVF3roFI7jQRLwkxGzPgZs0Dp0eMntecqom4B1PrrIcPBYaMtZ/zGZifvDRbgdkvCo4h5r
mN8KxMRwmUqjp6Qe0AkOHS++oG4t3tKKUGk0oNuTu6H7hQSW9+7j+Zdfc/vzeN2Y0KZIxPkS6/n3
DIWeOD7Bga3n9o2dWcMAzcXT4yh7s85OMTn7ucjJ99dRumqc4GLMYZCkorrWXZU8YTz8uXC87qlX
+h+Po90fgrTkuGA8MEMamKHNXjHo/ZE5diE+wN3o60DLfQ/7sJMalRMGgU6BUVp5hCO936CUhMgb
+MpccOye9RDxBMb43l4QjlFz1deWIvbTLDLhmduvbteQ2pE1k6KAhJOFtnUopCgWDXkU3sV5PD33
keOcTLvBdyuvMyyI1ebNUuHc+3hSd8Zn8Tbk+IEcIQHB66DpFE903WwcLWYLbItaoJgsnOFT0ff9
Qf94LxS9RezTmUtAIptQTeGiuBnqkNZnzfinDm3Uo224AmwFiJjXx+Pa26AWNzRxeAnyD5sdwMvP
FgLFgbNTTtXftT2274VYhtwf6VFd1cKouahN1PAmV29/oIuP6V0ZVWUgqhmsQs9V4wlz+H2ORPzS
gK85P/6BPzPOzRa1KIYAomWXooq4+YFVnhthNMGBRUg1R4lAM5LnRK+V9yi+qanfibxGBbzQPyxC
r98htJ684IybXJum018ao5rfwwOPwFeASZ3UFk9uPAKG97oSl18RWDOwGvIMepkNouOPf/rP03vz
02XzCzIEpXTpU7NeNLUJqqcI+/g8qOWnqlbzJ63BLQGaVOyX6KSe4qLrUa+p9RNetf0VNzsFcsLg
vstLPUJch0br4590dxJx1sElpBdIJ52/bpJQiRHD2GAxcfx24qeozLrxJEwqiJkHCdlSw+Ly+oBs
Fy4AGleysLOegrAvK2WYFBOxFM286XFnYJOoT4GTl9VTPcZH6/lu88B1Iwz4XIpnNuftOp7TLINp
hdCozAR1pQa6CvAE8AiLQGH28dDunkqy4SejQEcwQMBt5pKkV0lHVCH8UTQW8itUif5BLAZZ46gf
6NlnKlq7CPgh09QdhN4ZpWeSeXHKA+UhH1qPUuEx1hV1Y/qTMrhnaFp5YNC39k1zGD4+HuVddksE
9h9lQEf2x7ddXKNPW0pREC7sRCyo+Da4xdEYDOrCWdBVFF2QF3P1McahIHCj4ghYfl8IJr4jsSYk
9Q59os0CiokIbghvVBtKT9CFiGki5jamt9qxEbPE5LhJAvZR2F0SFNA+I/Q2v2RO3dyiLBT+48mQ
wVYbWv4YQD1QKils0NZez3sNCkJzItgvke4VflNrTlB2Zff6TUqywLJC75Vq85azpTbxqIdOZeI6
EI2XwUOVSQG0eHLr0QsydK4P9ujuqHir6ZItKt/D61HNEEScCRizb9BReBIYN7wdcMM4mLu7tETO
HY8GCXLjRNymnpoogImIzvQ5c8O/jIqkC8v28ntG00RBYU43P8wgjg4IzjsHHvBbXvhUFuCom5uX
UUryp5mzY/iJJnVx9BI9b8uu1QsW2khY9UZ7VBvaj8hmobZHMXsLs2v1ZsQpC95OMy4ClcQqQ8MP
KYbCWECop2F/MK/3X0/q2fMWk/ZO1L4292OhOxholMTTUSC8WqnbP9FutA7WyP3XIwo9RpAqHnnX
lkiDyk8UU56GDLVE2Xu9dVMUU735ncAkA+AmypnpqVI76wBHeD+ZJF0GryN2AgfQFkvHK4g9PbAV
TOiEtyFs05upCvecuKH6xnLz6WCY92c68UwqNKhac3FLm6xfK+J03Quv7jxA00iSnk0UvZ8GT3fO
njaRIYXUTCvL7U5VYR4R23YOOkJDKnHlpwSvtzlb5shUcFQCr422YxhEvZCmopZ+bjunCGYwyadI
G9tLMUwisAr0XRRbMT6qFtjdx4fc/eViqGwKUl2IH2TZm+OgH8E82SmHHGJM2TlsmthXtd55tq35
KKve+7ysK8ry0vKA7bmebhxSBepyqEZEQ28FTm1MfqvNyg2fsvGkdb04yHZ341nMrWQcy4fpJl5u
aALMKMuJhXWOlIIJHOz87cBXhSHbzQfP372pBDjCzsRXAiGAzTcdbGHzXEDEIXPV4aSpaR7MsYuW
IlYNB19t7xiQvG1K3zBBwTqsh5Z0SobdPKFaJxrOHoldYJTuEcJqbwLBLlBAJKWlOiwH/EvHKBIz
ujVNayFq37onfCDsU2zOod+G6XdndLSDs23v1AGABL6KBhGTKH/OL+EQN870Gkdhv++6hgwLqa08
KxXYnm333MHs9juttA8WyX3GQxmPsbELoIrQlVoH1eqZ5q/Tm75UGo1PSuoNHyapyKdiUYNnVTW1
H1ylwUItU+rnKVOnPx5vQPmp1lkGPwByAlvQhbq9ZfCh5jJ7GRgwf07mOMjVAVL80CRXTfG8z7x3
ax4zJbJHdi1+exx57/NSqyXB4bp0GP566MbUlZUtmG83r5tLZ/bNKUlQyvSiHjvKzhiDx/F+suy3
Q6Xli4yD5nKLuZtEtswtNbNRFvbNzhOI0UalDVsyGty/hMvDN9CLXC8RCEHSM7CNCG+RuUCkU53G
6g8tLJHNM4saYVD8hXGJqKYab+Y46TtxmoYKUTovxjnCd0HmfekSW/sHWfWo98tGL7obiP8MSeim
RMyeNl36t+H0WCLZ2FIgjyzt7C2EVTHbWMb6AN6ws8QkNwjPPs4F0q7Nuu6rmP71AkEc4TFxiTMb
3WMv789JFMMTbYYSgXy78dE0LDAQw430YNrltG6mHUgfFRu0ethc223sGZ1XW9jKI/uiJl9nw0S0
EvVA9Qd6nSgHDmk7fOo1QKknXIyYjiIx9M+NNtsdphmJiRadGdEmRw/Rumb9EH6wMFsKTzrl7emU
iIHEGzRXgT8NrRe4RxhoHCUkO0crrWEwTz/FDXgarJdqOi+FFbckdigcTgHeovknMWF/yIN8Pjha
90JZdIxBJdDzA3ezDmXkQ11rbEjWDbBLPh2tGq1buDXy/qA+u3PgSW7Q/4baXIj4uHLaJYwKHUDt
zajX+R+LfBqdeAXG2GaVzXSbrGq5PF4Qu2EtBwIZb2cMkjaTaZoRcioJI3Qbe0Tk1uwQrkvFUCWI
qg/1H56XKOfQbN2DuDszS/eUQhfVJ7KNbSc6drtyivk9vtoaxS2rElRde7d5G+rqj8cj3I0k2Ybk
dRLVuDlo8qLq+mnOeDHHTgkgeEIC02xa/VQ4dvPtcaydq5ib8f9ibbKMqazGMhrIleMuVz+NaOF8
q2Vf+nGU3RGhD0VNhaTR2lKuTbVykX+rUfbQIunM2Xgfh0ovn5MqPOJK7YXS+Eh4iIACAxC33gBJ
5SFiCKLQN2oTglYL3QGoTnbThyJ+ejyqnZVIXkEjhBYez8Qt6HQscHzU45DXzNwCekLL4qK46Ilm
iJJfs7TRPs5TYX19HHTvg4FtkwuDphZv4M343MFzqpEPluMJ4avJCI1XBzX/OMreLPK8JqGA6sVH
2xwjlE8He24YWte2+teoLf+uS935aDfZv1jrDIUkBfEpKlybz2U4IwDVcTL8Kh6Tl8pquEX0KEJt
eQmVg++1NyjSaah0nMW8XzaxaqkYkXvC8GMdm1BLBXbXDxQ1q3k+IvHufSWSaWngBu+bfs36K8Wz
JqxGcDZqXTpdFtw9rk4fvhrpSC1PcnZhWjNLLPp1FGQ7XWGjiOE7ffudrK85F5m+XHQG5I/2GN4e
L4rdQcnaKHm7fHZuBmUr3mzW7kB9glIpLrcdr60wd0I1eBxnb1/B4P/fOPI7/pJJyxtHNxTiGAKe
lqZZKPOazQD6B7nnZfHy55y9fVA73EknefjwjKa1oKPQsAkKqyWy83IhaAfR9BSGXYIC5txfmthx
XvLereqDkvvedPI+odpjeZiyGZvEKtWyLh1Uln5r1eVTv9R/lpGqH7zq9oOwSCS7RfoIrudydsdC
6Da+RA3K189ekwLV17PJf/0XkwQzlbIZdau7Nhd+XgVGf4YPkCl5i/JM7vd50gbljEC8ErpvhBf+
8zjk/cCotOgUd8A/IqC0pR+kWq/XmmDtoxCtB55V2x+10XA/P45y/7yR9RwNFL7sDMN6XU9fV4x6
HEO0hUXi5FeRdhjApYn7rmzC2i8EOUCF7oRfVliyPI58vwmIjEgmBWUOK5hj68ioRdQCWDkfzi2L
D5gGJl8ANQ9vqr5pnwwzLHEBANT8OOj9JqCQJCuPEkMLEUtO+i87j+pml8dsPuhXKEI3iuXCo8Np
xLT6P0pu0cu/CQecE4bQz7rZOpyWRDaqPTJcheS64SWeH3KBBlPa/5iV8Agvtjc6TksPqp5N8XEr
PdVb6OnaC1s8GwfYVsDyAjvGwgN17uz3bCiUg3ru3hKVp4nkRZKIbJHRCcLJKjIbBgVBO5Jy2eKm
xphSP57EvYUCHoPC1M/CzbYElraI4UFBBGnidck7Hr4Cf5Y0xbBS9AjjNujLW3MZPA66MzS6SAiK
SMIjSInN6gRG6fUQsvlySiTe5Hoe42nDKfM4yv2FDfaLpycoZ4sY20TYbBy76HOiDMUM0NYpkQo2
7e49gl/Zqx8z5DmyhMJ/SzV124sTFKJGu2Cj66kaBooxodcdu0vgLXXla6Y0yLKiI2ryzoK0adPL
bhVL5K4BWDZLYmKeRUJiDl+1LHKfaWqVX3A0Uk5uWGQH+Y/8KOuXtOTLgrSgR0WPc4vidSxU0YsF
9w/dncUHMxXTGdKx46MME/k5fmq+UijF8xThE+PG+pFo4/3XhBxB7qDSo4HCam2ylTwec9WbHaD5
RSS+uXaoNkEJOe68VDjVH1yuu8Fk0YIPakO/3rxrCrFMOJ/iPunicn9tktl82y6zfeWVql0fr9J7
BgQKNKb7k0JP+RSZhvUxhjemnlfDXASxyEfIPyOO12yJs5cOOFj3U/bWwvkbyxALYjDuleboth8e
/4b7/UhculXylkI7Zgs8AEWj2MaCFg5avNOTmmj1OUqW+OC83o0i71oSTtI/U076L9cDr3HWaC4N
ufWhvyVkuSArqP09Hsv9rpCJClQaWdxjVPo6itG3k5KVFNGMjnK3kSzjk96PWNna2OBhWNN3Bx9w
b1icYQadfwvu5Bb9HZkdQsnACYKlMdqPvZbZL2ON1f3rh+WACQG/okt9y83kFamDvu0Sl+DlMvMW
T0gA5Es1oXU2Fadei47i3d8LzOAv8eQ0//Kx5oqeMswUrL5n5SUHD/UFYdb5llgVDluL+633Yu9g
0919OSjF9L4kgI5y3R1FQg3LoS4iKfKvt+ZpTAfPF6bT3jDu0NCGro5g+3ebnHhQAqhC4dMmn/zr
ITp4z3U43rNSlDjB8aSm8WMAb+BX9sHjr/ezvbM6PGUsQ7YRWCRwpzeZ4MTxWCHkWwRdO87o8Ysp
+oO1NL13lmFEui4pSppuc+7PxeCdm9oz/lSTVEdKOVPTt/0S678vuoGu6JwiiZvhn4Hi10hf2SyL
P1H94PcXRfWFR3130+x2/o0K9ohkm9FMJ6VqDxK93ZnjzKIBww1Lt3Q9c2WNzPPEdgqSYrLfCtUZ
ztbIY8ftOuVgUdytQzlxhAGQIVVGtziEYXKMSfD0DnJ7/mYJt8QEo5ivJb4coOabLh19M0+OlO/2
okqEGKA0/rwjAZZeTE5pTLgPK9p89paphv9gKacQxZxL0WPEHWe6dn68SPZmlWIJBGTUGwH7bU6u
JUuHsLGVPMgtdMjaVJ+DDgFO6oTlEZB7NxQNH7BmaAnyvlt/QLF0sxOBEAh6EGEnK5YOZYkIg5jK
92vPYz4ginoIvIMRkIWndSiELoUpXDMPelG4V4euWjBamKwpWRxfDK8I//N4Fu/vUxkQ2KIJBQFJ
iC36QpkotelAVwINX6r2pJmVdwHonD8PrVK9FdHSvVGmtEOTN6v+SrxWPztqWh3cqDsLiChAP+Ct
0XjYCrh4BejBqnSzAC0GJ2gTowqWyaxPFlIY77zQa052YZYHQXe+KkcnOSFldS6+LbqlK3rIiq6Z
BWgYJucQKaLPi+Z0tF5ASjye5d1Q1KcQHYbfQV62/qpNyeNyFoSKsMS8dl2Oa5irD+86q81ff9iA
2JGqopLudNekR31wNI1SIdTYeNh8LO5FQVDJr8r2qNxxl+KS/UgtO2C9iDvzhFuPKsLJEpgSlrek
z16gRpl1rdEq960RSzvbwmYWnyDz1krEAqJSR8+ivUkFmC2lunhKUJhYh2/IiGw1jPKgjTXcaQcF
5dZa1X2tDoeDws7OXQvMFOCD7BBwCGxO8AU/5gbbzDxYjFGFQdbWn/IQpSqMisubVhj59fF62dsP
FE7J/mygLZRe1kMzBookdjblQRbp9XPhWA1GqXp5Qfdn8TOtKE5pnDYHR48cxObSRRD8/4JuLt1k
LpaxRUUzmEJjREK5yOdPkLrta1VmzlNmYLzoZY6G8YOJGejjAe/GppwF9gIcNbDJ9YBdbZr7UV94
rky98WYp1f5EZghisjNivy2HPzOv1J6HyT4C7u0tIirHUg4XxVbwJuvA3lzitpskeaD2S3Sbefv+
nqoUEDiujmChu6HI1n5ek1K2aR2KylZe1mqZQynQflsK1flUjQ6E5UEND6oUe5EMD9wsbxMp278Z
FJM2mbD1sgBsXeIv3aKcxVTm53Ry2svrPxykUWjvJHsgEjc7o6QumNoqxw0SoeXTXKRtc/Ly4mPT
tAo+mjCWuSQxHNTb6ffHkfduLmqR9FsIj429Ko+nX3JuYKcIFOLAHESLogW6h69u06rdk4uvmz+0
04wJWeJ+GZu4ak+6bKWP1NgOUtW9nUqzHIYVxwK39mb8c5hksm6SBb2Zek+DHqPVZ5YxxnPln5qL
XjatnCNZt7snFOeuRJpIYUDeoduuVJ3oxRjVMzET6J+T2Q2/ofvjHhTU9rYkpBSki2QdA87nenr7
IpqnuPMyjtdhel+afE93nsILt+U3J7TqxW96p34328hZHEzq3sUibR/gzQGWdLYoZlGOyBi1RR6Y
o97Wvtkn4jx1WXSzrKz9kva1+6frRVN8ajEU97sFs7eDX7B34EsGPjgM5D3ISjaDH7ImRnw0C2wu
OZ/nM9iQeEgDoVK9SUvziPC/t2PlDUr2DqCayv46XpLbWtQrxLNSK/cxpV8CrcHhDiPi/GDH7g0N
+g+PfqpDbNtNqLSdnC6pDNIeL9FPHn6lUPnD7pbb5XwW3WIerKP7oXG+ShFPumZUF7etfNtstSWM
8EoeJ/ExarvhuVdJNPEZb16d0AHBoCQjzyJ6I9t8BL/LqvXMLguKtB6uQmWzA5UfL0U7mgfr4140
QMI9+INutLwxt+ee15UmxeCCjFVJpq96l43NyRwShKdQrl8+zTT1/hJTjmWfNyQ0xa3ht7EqbbzT
M36QENXBaXh/DvFjpE4qRyLsyy2gMFcVx+yXjHNYSfLPVWlhmZ1bnXmzBeUqLBzr7vdoqMvoIGnY
jUuFBaVhF6zBts076FHR9mOaBeig/pgUJTkDPXDeDhalcF7bc1AMlvHp8cm/t6Jgc2BKIEUA78D2
Hr0vs2iqLDCFlsMVFNnFSYX6Mhv4afyLUNxqaOVxCvBOWu/LRQwR/1M+cwu68WK5WCR6VWNjZNIe
+U/d70sdrAYLmBtbgvs3R06H86A1mIQSpl6dxgyue0+OGzRRpN7Am+lPrx+avLVA2AALBbq5Hlqb
2INe5g27pbTex25b+dzl5cXt4+Ug0t7IeCiwOiRY8+6+msvEcBXByHI7kdpE0BaWpohwgE+6T30u
ygMQnfzl60RWQkTImiFk8KrcfjRTnyPFqZw0sLWmuYyO0r1v3FY/gETurUJgL1LuX3LZtw16DdNh
qyhwCkfadDxR+bDPGNE2/sCZc378qfYG9Gso+VN+yXTKxOzLuCeUW+HMmfVhekXAe/wXW5l3FI1I
8Pww1jc5+MRVqEWY3yAalk1vvLJ3X3AKLp+tcQq/O3Qk/bo/7MvvrA1pMyLVVzi32M7roUVdWahc
90lAF+2vMKR0UyyGgwcG/LMZTs/rZ/KnxjaQUh79yMusw4WoUrkV4iboADTdpYvt6QMcqdf5njkc
TLwnZCGMbJ9mxXYBtp5emHFDlKGoxxagcIjzZ1un36ZYmd4BLz3qSOysRXgJ1BXIRNlp21oYCnw4
3seGXIuTtHHHl8yOYzSV00PZkb1QXHgUFqhncvttjqlhUOuJ9kcSqEZSn6IQZ5Yx0nrOYgpHj5f9
3iUr65gwqshVyHY3LyYjzmB7c+gGuQjVE9Yl2g8tVMzyFCZSXSXHD83FnCCIJ0+9Rqgm+Sig5Ndy
KEtfFPbw5+Pfszd0CUtQWaY8rbatJxOuubCUNkGUXUnea0sevnDooVGkRkf4x51r1aFFSreSViUU
0c226DC/soulTgK8UvKT4TTtJasHsNZx0o5IFGn4S2fecnvtALl9AAcAN0J5AEWz9e6Iddp4rppB
umoT76xPQ3vKJg4EK03Sgyfq/b43oBYDD4P7Tid46/EApN+p1SxJgmIS+SnpmvEMYA2vlgpWv6eh
rft4aPdHKOg9WVml2Mcgt+80mMKgxHoE9Rek4r5Q6y3O8AaV6+Mo9ysE6SSHtxKbgxbzFtIxZJOd
w2uPg6kXRlA0aYNWVofFDuYvp8eh9gYEl5WHGZpV96LtokRsrtSUKCBjVwC9wVQWlPmDx1Hkbl5f
pUSgKoz/B6uQ1bxeEWiO0hYc4ykokaT6TcU4/mJb6E61vA2vGf/ZyYmU8reumd3XLxAucaqLZEOy
5bR5psA8dyYP59iAGxgrl94bLp3RzX+XS4pbRJnNB2t/Z0GSDUl2g+ygQDpYjxTTpbCzeuKFbTED
oapyv1CH6MnTm/lqYxH/+lYNjwcyPfqvmlSJ2dT48hpj8rQgQ+7SJrzWkHYROV10P0xa65lmlfls
JEN6kLTcnysSp0u/kHcC0Mwtj2PMDDLzaZoCmPPlWc8G5+x0eFxp9qC8tfWo+i3B2+wgsdjZFaug
cup/SV9UvQUjAQCCTqgd+lWzuG9oQgm/7fPo4+P1ujs+0nRE/tkZd6TkPstbMdasV8xx5++aJrDN
cBOlvCT6rARdwVIqK+fV7DHegRAR2fLUopF43XxKE1GhaorzKcgsWCp03eZgQpP8mRzUo75nua8/
ZohHioaZgHzIywn/ZULrYfEwzSqxc3fmxifV6c8mCpS+cFLn4A7eOQB42v0UAqTvxV20DhWGSjdW
A87xHb2bNwt6C+c2NCAZpWmqaTe0cJRrqKnlS2WI8CD2zhFHe092wyjDUBTZrJtMn9Kh8RbBfSc+
dTgpvZ8aM/38eMXsLE58lGEeo89ErrEth5A1aSUeriIYYkPKKw7Jleu9DrJkbg7eJTuLE7IfPUt5
sCFDsElnvCTL5srj9HRLuvNtNi5UJNXyubDo9+V12v1HKcb8IOjO+BA9oIQnz1GNC3f9AWdVWSjN
JCKwvck7xWWuBmitd7fUEd3p8VTK77G+LGByQxOHoE75BaWFdSjb6kLNE9D9WZHJNwUgnG9CkfpI
Fa8IUgr/B5Wl3XigNkHiAD6i+rGON4O4qEVLPmTOlvtc5FPyEudRDd94iorvjTcUBwHvFyQDpDcr
ddp4NG87Tp0bN2LSljHQWjxSIgxy3iTd1B/cRDtRUJ6TACMpCYRExnpYcbxkht4oQ8CChdoMDOIZ
f6Ly4FDemTyKNlAZgeKwKrcFo2U0ukHjVg3G2BAGGbUYr6GIsi9KOyRvFq0ND6oAO8OSNCmpFEF9
int2PazKElVCU3cIvMpUr7UzKuf4mGR/v8dIW2lEIEsu42yRyourZ41nL0PQW13yIWr78Flp54ST
WWiUkwfnA9Im7cEX25tLFChIUxBzkk/L9dCSRBnIV6wBTFPhfkf3N/ejdJpu8YzsdjpOR9I393ua
Fxh1RynSCT1gC9XsvAbOV12M+EAVGOXESfPcmiwYqrdHMN6dr0Z/BWQT9TaomFvUzzyk3tL1JUu+
HJvnJjW0axbzJHl8cuwMiF0MHExqOzOmzZJfrFRpXY0BTWGef9DTtj+nZoW7YHwkrnofCbwIeGsI
9cBkzO2ZQbMqdvq0Ihdx1fa92anWZ68oFh1yYuPFB8P6SRtfn4hE+/mVEErmCN7cnshtjQmmeVMw
JHE1ogVeSoj+krjOCV0LnlcLXZbbEBXzeLXIaVD/mRMLBakyVXnC1qqVn0KciX/0i2J1fub11e9C
zPMPxe2Sz3Nsjj/IWz2Aeg1KaLeZErNxyoVuLMHjD3S/reAAUmBAKkNqZmxRIiPEhsyIkj5IIuo1
p3gqqt8z2kYRNDnXOCGyDgnLEwf76l76gJSc6hCkAgRaWfKby8vjxO2KuO6DEYLXlylcFFSPR2vR
zvUwzP01GYR9MaXH7qUVkM/tOTT+UZy2tk9LFpvewRF2v8+R3ebtKCEcaKxv/bqnOMo7QYcB7fEu
edPxUj7PUY5/1Zj1b7LEiQ7um7149KRBjdAaZ83KzflLnmdi9Z5paU/yVVi6X6CNe/YauLcx2MnT
gH/WwZ1wv9kpc+NHzquEA+buQu1G2ip5RV6ZOEkD1qFlB5bZUba8F0UelXRs6blzVK9HhQEoMG3A
mMFYpt61wgL3QkuqPVix9xtdyhJJUUMubPKRTXIwLq1WRdjLBpHuJmfqbu1vZthkJ5U9+Gp0iAxF
jgoZnEbwFkOQzoDZc68h/cde7GQthfhWOJixkpJPNzusov883ox7Q0OmAvkl9C6lMvp6Amu012Ay
kRfX5uT6LaLk6UkvK/TLDDv/8fpYMhFh+VG8p2SzjtUp9cCCQaxq7sz4DbdfeKb4lL2MylweuUzt
HDIsCHJV6d1EorAZVztNJSdBxONNHdSbMnnOCbW76lQDQnpqZmvydZ7p58cDlANYH9GImZAbI0fN
vQCwfD3AUGsmr1flET01A2DFJP5UZGKQZgLupxnFsKc6HJ1LN4/aH48jy//zNjLKzeCKAPrR9N2s
0MmLvGXJ+YxDQ1EVtTWkRzj/hfv9cZy95UJ2jFaXpKQhlrceoZs7zoBEF8+OhQpxQR/xlNdu/T+k
ndeu40a6tq+IAHM4pShphc65fULY23Yx52K6+v1UH+y/xUWIWP6BGcNAz3SpWOkLb8AvtpkPPube
hYXQEOPwtpKbboaigbBM2hIjbcbhCzNU5S5NhnxB5nfPbj6NP+/PbGftCCXRiVHRngV+8HZm65yn
eMWq5LRyDHxCQWjKNGjacFxX42EZ8CNOEhmEo7UeCa3t7FUVeJF2cOyZ8SbkA51hmGWXE0eINYcn
aRVYE6RgBSxz0H7QIqzC2Wvm6/0J7yzlzaib72sVYlnXiUKDhfgPNoXF8mwIMZ+aQB4JuuxPUJWf
lWQo2+b22zJprdUXLrVZF+lltt0FKEtNTUPyBuOZPj37uXHkb6H+0s2RUE0FxIqV8LazxUl6cT0j
xGGgApjrCESLTryLp/X1eGyeVDqRKqIiQ9hKkhbzpCMgm/LMBeLHUGTep2L14ktnSfOIdvqLObid
EfU9it0EUBgiqs/82xOOcEG8DjUIGbf3y/dOUsjHUcQ20OG0fmfMs/b3sHRDZPZe/4QedP3JmvJh
PXE55J9Wx+FmHwrXwWDD/Vskdnwi0uj/pddK9bVwFqzhhDzqNu6dKph0pGg0vjH52lRCYzGtddHw
cprJqgSmkAYvOsCVNSCjCB3n+ixktZ7p62sHD+nLPUeJmStR5zqm87Hdc5M7OEPuechY6U26hK2f
Nx/1Sm+nkIJ9+sFYF994lNB9xMHAL88V5Rid7I2SKE4QWxTDOFpARhaKv8Piupd1aINnsvsiXMc4
fvUVyVCKx4eoM12krWC1O+ixO8/cWdmiVXB4vbGJtG5y3zta3fZh3ltHskW7k1N5IuAQwDFbGXJd
azskWyTP6uBMUZoG7qXERiNMzc54uH8/vdw6TI6+Kso9QMrZPJvdHkszs9FBisrBsy+Dueb/5Frl
v8ewtz83I2Q/Z4AIquv5EUT/5cvDyNxUNOconlA7uR3ZElbbugFnemnW+RTkc/ymLnnpknhC5KDK
m+7z/anuDojZEq1rKl5AVm8HJHRtlyBVsbLvtc8eFL6wqLP6VHazeUlSwMH3x1Nv2e1F4qMlSgeL
JoXKYDefVtgGRi8N93GJDfpT2lnTU2CgwLPg/BShz1R8rgFzXOuxWUN77f589ei2p+rpFj+ADskm
kRVm0Up6guR/rk1fWaQUbUOr9LnDgm445fA7LlDMqrdZKoezYbZHqLWdTXzzA7bv7dRqRjl5QzS0
NPFoj4AhGcrxTe/MR0Snl48QQQWtK34vgFa6z7crOxu5F5RBJSP8rvsIOUj7pPsIt97/onsT4rbj
QFJJRCt2u2GnyXGbsZVR69KyjxcumiWWOMFnwasNNChCUEWnNUG4osTWbyeU8oeNYUsZ6TmWqbFh
52E1oVPYLKV+SrRDFam9qUElJHBgZsR8m7BsrLq5cRpdRk4uqgdf4yJNhnp924DUPN3/isbOMVQ1
N7Q56ANiSrXdF5bqgnamBPMHZZnoix52mC+a9xctrWAN8QJ2LrguL9V1MaH5nxO0d977MnFKOm0S
hSHQEoY8U2GuP+dL7L7x6jRLkCBwliPZ593vohwcEeGzqJGrP/8tFqDvRjWoGGRkpkP3IEfkqeYu
+ZKKIji4nHYKJ8SJWIUhMAAmkFL17VDz6IugNfgset30l66vManTKOk2Xdac2y75nMGXumKbM3N2
df/kB+vwBGWrO1ifneXhdxBEUG8jIdi+Pe0CDVciVBfVsghwWU1XJ0S4zT2R2lrwFYX36mSHd87l
A5MNELpuu6oJbnBNmYkpmpNUPnr+SL1yHCm6ObF2MLedGxniAPhzrgvyxm27Qy9rQHnLNEaVa+FE
AEfscc3KLMJqZIigFgKRGfTxoV2TNbLK9Ah5ubObqHNTjWNsldVtdr50odKmtU+3JRX6k19Yf5WY
73wbu8NDtnMhks4BguSUUQnewrFbJFoqPY2Rca4a6yyHvPmyxm16IAqwOx+A5hSZ8U+iI3y7ZZ22
sBNy0zFCRWp9ytZpOidFalA01ZqDldsJU6jVIIUB3wWQ9zYGa72gKunAjJHjJuVXufbVUxEH1ifD
zM1wbLCmqlJjDsvBfn1VCpA3pRTqUgZQu2BzBXgaOwrE+RiVRWtEUG6Idds6Oy/JYB0EDLt3ABwQ
JRMDnIeb//aDIm6M3pJD568bgvaiG6W4llVWn+c8+TzUTv5hdMzhDXdRGY3umocy8OurJDc6+Np7
dwBhNQRzuMpgJTd3kSF9v/XrYorqBXW8sFh7+k26Uczfk8oGMJ0sSKXffxZ2EgnQ0PCHYVHS27U2
Z8NeTLdYM5q6QTukdPxHC2Mq13v2F2x2ZhzITlqMXtT9QfeOiVpYGuHIrZI4337vBSqhNB3J9yZ/
Cgt31j5ZS519uD/K3jEhslYbiFAMJvntKF5mpY7d4YJnDcI5x/FYh+uSt+9msz5imO9+RfYNzwiF
I4ANt0MFYskkzl5jhMMxAopGDMU2lWN9Rgvyn2Eux6+Fbh+VAPbmx3sFkoId4/N23Q5ql4Yj3bqe
IoQ5Zjal7OtIl675ThbO0YO8N0EK3Tq7U3UZtn27oltjc0oWrhxjTPxH1xnS9FOLgrTz1ZrVKyVq
1HIdcyqOOkN7ZwL0KWUBrjRej02MOa2LbQ8ILUSNjj69IIiPmrGXF5ka0xlM4ZFCx9F4m/g9NuLZ
ajLGS5shi/R2TM5F29UXfQn8ixitI1WxvVV0cJZXnXKQvVvxCqUnNMqlHiMNDNt3LPdwyJaxLc+4
gqcHXZKjsTbb1Jqh/+cmMAAgKOZ5WpzgqVqoh9VLcoTR3x2KYjGtZUSqaCHebk4xWC0KkQAArKZ0
vg5ySE/JWOpnELGv5/DR4QWxQdtN5dTbkkQ+BtpUm+zNWuuCK+p2/tXsQAEEHI/L/Stl7+JCDweD
RIV9o7FwOyseIL9yzHGMIFLZxrnie46KhXB0K+9tQrIBdjvyTICvN1dXkqeU2m2foNR204+2Vrh0
FZzsqfFs0aMivB6d773lUsatcCHJXSE83U7MxyQewRoBYJYI7aK70r60FX5s8SzNg8rH7lAK34Bh
6w5RhM6uqMw1JtDVl+qcYxr6hY0hqQk42cFQe8sFOpcWCUVSMsfNZ+xi38QDOB2jIB77x4rc7rOm
HboV7E4ILLnLM0rXdwtWQqFr9RNkhKIaFsU1c0sMsNxR1mFaN/nBm7Z3D4My+7+xNus0WLXlZx4A
BtQGiitUJv/Z02b/z6GA2KnpiRdlUMv+w66nX4fKAvBy6p0qSPwtGyuyZmhlxhVFaaP+pzQ6GFxi
8OODqGD3O/6i4SpiM3Cb22GcoshkNbHpYThn2aNRCPspEX3fXfUcjOn9k7w7GDwshdVQGOTNs9IB
8arF0pATjL0dh1bjJE/L0Gmkega3fPgfRgMQgD4lGkVYct9OzUDASh/z7BcMpX7nxhPuILP1JIpD
7a69efHtsNUB86QoAbcjxUbmGRocO7BDhYj0Ne4esQT5moy1dgA73ksNyD1IIcnSMfHZhB/u2nZu
lfIFG6yuvmszygJebeZK+To9j8Ogh9WsFad1Lr7f/5h7lQxsGlGhRr9FOY9uDoFwAy0vJ7IsdLTX
Z3fC5Lt2lvqayRGFd6k516K05w9tM6Y/0E+KnzvEEdcTat35uU7q/upmwvpDj2XpvincpPpHWuPy
7/0fubsOqjfAHY5UyHYzoz/eZEbA+xfok/M5SybQtYUm/g7G7Mi9ZO+xoEcDygLApOpF3C65U0FM
bT0epSoOEKjlfri4/YLCvwn2AVevI1L13tQUtIVIF2QCkNPb8YbKSHlKZp72fEFNrHKz77bSQK8H
/78kgTAKaaGp3BPJy9uhOLoJrUqm5rYZlgzYQHXfkdQe3VPaYCfyH+4E9VT4yAFB79qmX7UyGISF
QehnZPEDIgTDQ2Wm1gljw+R8f3vsrRkoOJV3gVoBb3o7sXH0EmFPVIlH1cAXJh7Wc2VTRytFjrF2
MBZ/3B9wb9GobFI1AK5FwrC570a7HXwrzSTqZbb2KAoTQehqTFYO6RAfPFJ7zy7Sc6gcUDhQqcnt
5EjmvXqxGase7fFTnruDFpEOjt7Beu2MozquUMegMNKT2rxLntkvVYlYbeRMVvLolEt7LuK2/Hn/
y+2OAiYAGA551otOK4yecsR4mFpk2ff1ZawT81Gk5hRc///G2ex1KjggE3kCI6BZc7j4cwN0K0kP
+ncv7SJAACCD9muP09Dd5huOHaSjgRFs1JhWsjy5RT0bYd0UXEtjW+Q/9CGt/5yWupMPVl0YJCMy
gW1vgyr5E18r0zrri9M/GrrQkqik5yzDKi08rjfTG/7oKsPQQt1K0s9DWhVmFDcVxYXOQND03djl
lboGF2sMx7iy1pOER5tTZsjsR78nlTh3db5+6ZaiOxKJ3jlwiu6HSgwJCVWzTYlnciegYzZWvsL3
kQ0o0+Wz5dbjg11nFTL9yxG/aW/XEA6yb37BybedhDyu7KBBDyJCHDcrw2nSu9AbmuYoPd4JCCnN
wawllKYgtq08mH1bZmOj0+3pOohoJqh/ojU9qpvSuK5dhYYfadHBVt25TBSrggY0BUjyu80LsNJZ
XK2Bj6mj6fEwZXP+qWe8EH6A/foQnnJ4oBo/KCIQhd7eJbKgqoIL9sB2zR0KYGX+3aIvfBDL7K2W
agEoXU7F5lO757cIt9HM0dRERdOu1bUfIEunLJyojkf3j/heoVGFLbTulZ43j+jtOE4w5HZv+gMK
1KnUI9efxYexwNX8VFWp+z9tP8GFabteTG+nrho+Y96+/JW5rmacbSPH5+T+79lbR8I3yjq4HcFD
2BwKEItNBmyUK8eidrUKw3wAEftvZQxH4Oi9kdCDA7yluBVw5G4n3k76rMcrDuk+FbGfo0G3C4nZ
fA5jjEYPgu29I6HWkhyC0hjs4tux8lnkRW9pfWT0mme8NYXnAWYcM60+2Ujb5p+CTPOLEPG/+a/7
33PvkqGEyi1DR4XHYhOYLn3R9QYut1Hi6FiNLEOB5Q7+PO+NQLgnmOnLf1hAGqKQbD2ao9Dlb6ea
OJpva9pIGFGYeah5moe0Msr+jWs2B3t3d24EmIrATzVuK7pQ4Hlt55MzRPVgD4/YOLmn2EnG6+g2
8tFRGsj3v+XujgHIixIcyAFaHbdT66gKE9lyx9j9GD8ntWZhoRMYT1ZiHDU59qZGg1mZo1NEAk5z
O9SIVtEwohwAhbh3rnJcslPSeOnF6+Phm8b4B3HLr3O1QSjA6KVWoEoGRJTqB/123RD9TaicwoIo
afKcylH6QTjM83MzV6sIp7Kfv1arvfyPpbU8rDRuk0+ulVdHB2XvE//+MzaHkvpcbwvq8NHIZ0EZ
H+ImesEOaiiJ+A8vBtcdSJdfsglbDEiSWCO2OHBoEGyTp9SuDFCcWX9pu9k+3984e3c5UsDq/Cnj
r+1Lb+hThkYaGXCyaPkpN83pDaVX/cf9UX7dWNs1xASYqggFFYWI2qyhb3f9rM0SFmztuedsMpaL
lfptBOofqrHrT28cK6vfJBX4vLqc7UcrF8MVomlXhpS/5uHS5dKD00DR5Qr2u/5SxY7zOJA/H8Tj
v9DvL36ro+TlUf9ko2/eaxMVxQq5MQm1rBv+yYU3Xvu1MnT6PYMNobbHM7nMvX68mmbefQGfH/xI
bCu/4M2b/Zk2llHiT+n3TdQ1U3WwXnu7kCYm6aTBcpFU3n7IqkE3yKAGDjS189JTO8X+A5hN548e
uu3BpbJTs2AAQEh0FJB/2Mqp19Q0exEvHDzPIkGeS3HO8So5rSnQHAST/h7gZz80c3p0e+5MEroT
sGIECiDGvTjxXb2uBHAUdMdO1OehnTnoTkZQFxnW7OcHN8zOPFGOhu7NDUPbdstFtdF7nUYfLlIW
+3boSsTVK3vywqltqrfAfs1Lmus/zXnqD9KL3XkqiTfq8Lz2W6yO19fwRwvoSZQpJ5AmTnlukba8
6qN/JMGwd4tShVcYapIzBM7Vb/ntFq1gLi2W0XLQKyt9aBdphpXXyDDIsDrWBt87GXE/fRQaV4w2
pVgPWMurbZ0YmRYmrF/E30ggtjd5DAIqGWh9YUbXPK/+0L4x6VyHlTxs9+3Pl5QNxIaypdj68Hp+
1oLKpww7rob23qmE8wkOmP8UTLin6EmXh+u6eFGJlHzoWYt39rP46MnYia2Iqv7vN2wRrz4EDtIR
5OQbs+9+zDpNaRfPkc/oHVRP05wGH/uszF+fAxCb0pzm3JDnbE9tHweJVpbAR8Z+nEIUN8znmLD1
YJSdKEBRG2hZUUxQHi6320kg0gqAmFEMXB2+iCSrs1NrD967dVr0c5xQqTm4jXZeKri/qq1KbUv1
+29H1PW0l3Gv8zHtZFnDMuj0OjSTwP7n/lu1dyh/H2cT30AZTFpwCxQInaa5THMZn9sG5M1UTu2B
CtjulExQPpiZkBxuA9LCEKvQHcl5QBUxyrBQOMG5PqpA7u1C9FdRl2ErYjKyKTC5FuqVTcZSSZsw
X5ixin3t+SyXro0S7tqHcnGPyFi7XxElH6Vxxj+3bR7frVHrlL8qunX1pC8IWg8OVmSYKCQH1/fu
VlSFA3DPiFdu82tjBTYxDPSt3Bot9Ao3ZSNcfe43CHdFJKq+//wfdoiSKLLgowD43+zEyUdHWszE
TFZrlSjLjvYpK+fhk4V95uN/GYr4jIQFCPKWkmUsq68tqidn9NjfJctSR62f+Wevto6I23srhoEV
Suv8l1K1eiV/eyDsDiV5Q1OXVVu332S7ij+w9HDeTJURf7k/q719ryJ5xRFHoGT74JLHD56cVDtJ
z/wvUKiLbxraBQf7YndClMHIahGHI2+/ndCga1BNBl48qnjaBXePNpzyrnmYKj0+uJv2tiDsElDM
aD2g37jZEQKXktnwecibQooLWuvaQ9Fl+ZfVkt0Fma744OLYO9LABJiU0rDhM95OrYOKLnArIEGw
5zZqpB68T8Q8hz5Vj3OaWAlevWv81/1V2/uerBfVUFBIRCybuNjNtKaZ8UiJRJn7X6D5TxiEy+Y5
nlBUvz/UXkT221DbrITcOW/zhlKL7iflfEmTVHtX1J7WhO6UBCdvcMq3s1cBj+S6C6L7g+8tJu8m
UqbEDpTMN/tmbbLUbjRw2so76C3Z5vvC6fRIN5f1bWomRz7se4cBUBcsA1XpAd9+u5Ymbomowk7A
wm0dspDtzBet118v64TJGumd4pZxU27DvyEeCd0nbYikSIxHw28wtckPZZ329iX7UUnTUYYASnY7
lyRGwwnvL/blKhcwOstyzgpKxkPnmBcrt3D1SJCmvr9eux8Q4BqdEmBPgGZvB83N0sxET5kQ6F5+
bQZsKKCEHDXX9kbhCmbbU5IE9bHZFTECIJabFjQ25rIBRoC/zDLE5fn+XPbOGOEqmiWgz0mV1d78
7RKeVzi4zsjGz9Do/J5m1RxC6llE6OXufwmoFE0Npigvi/ECGIv4fiFdChpe4zuXzKlLmDX+Eetr
7zQRi3IzWtCYCUBuZ6Rc3bNE6hCEtGFAad1WgYBTXpsyLx89rxYHp3evakwUAGJGgRUYc/OO0c7T
AV7AoMQ2GYxmugbXQkvdN7a2JucpBsZvrY1zaddMC4fcrXCrs+Prai5HXvJ7M6fTrOw9kIijhXQ7
82EaJ7PwpimirST/tuwiO5VAXXA/w4bCEJn98/V7Bz0z5SSCwzF8gNvxZg+LDTkwXmUO9YNnJ/XZ
tZvu+2gt0wGmeu8w0BlV0AkUFF66qKfx4gcTvLZk7oKLCPr864SJ6vX1E0KEiigL4UACyc2EjKJI
LGOGCtXEphZWRiaiRfOJXrXgP3DZoObAZWPnKPGTzR1Sd1MC8g59r8wd4jBz4jpsjXj8UizTctA9
2bkjaSHQNwe2g4zntuDe5z3lsUBJiSWOe7GyvgqXopkuqKR10Bk8/0Rb9kimcOdBVdaepE+o9itb
gtu9McYyLXxjmBBf0LI/zMy3HupulCer7/J/F6tbYYqmH4NYWgc7ZedCo60H0pDuNqn/tpPeAH+g
mwc/cNRS80Ln/u9+7JwHPRMH0cmLLUmxSJEfFVvHVlS92xm6I6bpaZpQdEuK/rT0AAVqmq6f7m/J
F2dajcLrxsIBTaIZdDtKkrcV1fuCUUY5Pbkga95VWIVcCA4/JaP2ao1zNRyCDHDQ2S+kb7fDicKa
urGhvlYnvn/VdNlF2mhnmLMa1msPG41DQgNEqLhAeBO2YchCBzOuhyZqg1k+2UG5Rv2Slc+obR0F
5uqvuimwMhSxP41KhHmVl8ztrPRBlF4pmhaYw6S8JBon9Do3vyyVFjzEIHxD1Fvax4bidzgF86u1
/NTw5ISIoEImo8B4O3yJvFed9oB/SgSPzlTK2k9NqbilhGJRV7U0vrrlKEh5cQ7UoDRLFX6fp2A7
50bvsBUrRRspv6NTDyP9Umt4e1ppLC739+juUOTcANoohLN9bufnrjy5vWM1kbd667XPTO4Wl2C9
6bzl4LF9cZcxK4IHtCYplStTntuhlH+VC7ijifRAqJa9Ffc/zaSScygaW/tYW4PzEVpG8vX+DHfO
OqAjhRdQWSTI2NthW35KNwmjiWajRq5gGYkuRD38h++opkWyw/MNXPp2lAlrXlJf9kk1DtXVcjQz
8lPfCIdJBOf/MCGFEeAKo0S6NbUVi6cFdsyETN1rPlklh5Rqmovc0P1x9rYG9SYwnDx26KZvpzRQ
6k4Ku0HgKy3Pfpv9O8sAYMoYHPWV9kZS5DxE+5gQtfzbj4fOcKBRJqkj11j9Bx/QSthmgf5mzJzm
tU8Mm5D+FWsE7kGBRm+HEmwSbfKojDhNOmHlPOlXf515S3u7eLz//XaufxoiEN7ZFHBktkxLtkA6
ImJeRaJ2ZRv2S6Fnb01ivMecFmZ6ajy/+fn6IWkOgPhSEsAv+vMYxFkpE8QDtZ/SM/RRO8z6eQ0N
vLOvle8fNcn3jvTv420ihbmIWcwRe1BHGvapbgbtlM3m8ujL2EKvIUmuTZsfKR2pJdq+CJQy2PwG
L94Lm5KK59rp9baKTK2qztTE9VNBReW5K9YOoVOzeSNQpDhZs2senLyX04VHquxDSB9hwXub6Xqp
07lNxw1WITX2WIjViqYBzscoiuGznk/to2dyVO6v6cvDocirlBhIkeHRbcXvAhPgSjsi0MA/LfoQ
lfY0k0eEJgoRr77E2K38h3IGIksMd3s4ZE1kxl6m0VrMzrd+nJdwduLyc9l5zcHh+CVyf7uKCIHC
LaFvB8gCKvLtWJnjFtrKzEBkrkOK1UTvZ2Gl1fnPYq5qGIEYBZ/avhTDSc5G/xa4OY9tDvXM5K0S
6U83zhFV8G2gsQcX38sXg6SasJCLAuqLvz247Vi3ZW67fAbNyj5nFOdOOlYrX++v68vrgU4T2AiE
rSkRoCl1+wHwixyKxCewyXQTtniqOSHd4+CLzJsf5jT4B+3DvUkxIHk6lQJg02qb/VYsWBe3s1sq
nJHvDvalgwLevseb3D3SNtybliLQwvVExORFdZP6drWycVrIxy3CY0NS5CE4UxFWQS/e9VI7qui/
1DeExUMSj0Y32CC27mbXIuukU3Jj1/pZIh5nMdfv7HqpH1y213mxHS0PzdnU3sIesb94SwyLEDGt
/m0sA/kzd4M+ivOg/p5VvvvcD8J/HvrM/dcua+dr0yY2brqZ+FQ0Rkr7qj0E47y8zfj1GOiq4iwy
D1sGiBeTMlt22sHDHSov1IJc/9iuZvFkYb75LvAG/U3lLNaPxdCCg+Ryb6kALih0GsEfMq+3W2JB
f2v2R4vQerD/lbMI3gVrW51T3/7Wgf89qiruDQfkCPotHUcFYL4dzqrSINa7tI8WnIr+rjRnfpC4
YKAFYfmhLO2j4s7OxflL1Mzj1iSI2Zb008q1q2HUOoQ6zPFdMnRGSPXUfmz86Uh0eOdhYCiV5ZEB
kHttDpduJ4OeY5YT9U43rhe/lc250skRngTg8KfC6v2oF2l6UNnf2TvAa6hicotS09x2YYyJigPd
2j7KChF/7W2YeleIev387FiL31A/7fOfaZcNV6MBIXi5f4Gp9drc4ESY1IhVA4h3YVPkrPq48Pva
7CJ9kvJHJm3E1P1yftMZU4LimrS+oUlQ4RFhTumnpcqPxt+bPbwFoHmUWemtqf32240W9GsM8brv
o04s+Y8Gv43QS9LksfU0cfLTbP2yNHJ6aGrvqOOws7OU6zrpKJ+el3mTUkAgdIxhln3U+JoXte4k
Ppi6SJ6BLBQf73/k3aGoxtDEVhXKLYRngBlN36RGAqbCwbhchR1K4HunMgXjfX+onfNJrUfpzfiq
JLptjdbSgKOP+kYkdexorqvWTQMvsgPE0xiW8tybyVGie39IAFS3S+hnFm5MSHzinOzRHXX9OCUb
dFztlK7a8mbsnfm1PF2U8v7fJEEj3I7Yeu6SaVrcAVZf10i4HV2hYVnfOLl1dCnsTk6dTbq+v5Sv
boeatN5IYztHqDUfre9pIIs369hoWFMvKQipInA/3F/AvQOBsQjFbJJQbqLN3JrEbfQ1RcQ0MWUa
xnVVPwZj+k9qpt0HKNDLk9c7wTtUEI7YPTuxBaUKkKTKn4Pu1CYuRuOg762066JY5i6UwrI7Ia71
+iwRVhoVGIUGUq30zSW7tKW0XNLsSOjNn3VVrG8tw4ihay7D+f6H3Dl0uPfRKqXChTzHtgDa9029
ipE0yo1xmESbr42mCa8IZG+PUD87lyjRD9OilwcleduztxfD7EFVllFnWbI/zUbWPncS+h/CQFr/
5KOk9S0Zp+qpsqv8TSYB2N2f60vsk2pRMT4FLjJiDv/tNl19b/QqhU3gL5+x9J3+HkeqeK1W29fO
olBjJK5/FsQ/YTW4wZVo/cjIcOekQKckZSUI4Te8kBXL9GUeUqzb7XIqLm5mT++nNgCePJ/TMige
7s94Z7f+qlpCNueogI28nTBy6P0c50wY8Yrkuajd5Oso+/RglJ3DyCi/ik66Q6K9eSMKaSQeIQdz
wkL456jnbhhYZfs28JrmOcf44BMxS0PUtx7dO3tbipAOvjmXAdJX27Bu9pdk6nSKAMJwHpKu8aMq
o5Uk0mx66NNeo6dmmNG8WvXF8+fi2/3Pu7eYUI1pZql+GgXM289rZnkRNzY1gcywVq4c70dLWHFB
yfZfXUvMg1xt76jS7uG+A6xIGLtZTJA8dlKlXAor22YO677qn8wqT9+tVP0PjsrLJaXrzih0XEzi
ri05tvaDLhtb5NiCKV4+Jq4Tn0qsNEJQe84V6fYmEmkMAyrmh9z/psbLaaqMirTeRiwI3OlmTdtY
9DIRTR95jsDoL0+c9GxKreOixQe8CPXFtB+8dXLOnjb67Vn3lvzaj1WcX/I6sUN9aLss1NzSQiFQ
g/Mz2tPw58GPVN/6NiAE90uBAiN0KoaER7cr77siq9MJIdFuFsuzuaqXSOZ1KIe5QgDLH96s7ida
+lEg7CkJ9dl1HlKrezWEjQQDHA8SR4qDTivk9mcgLeE2Qkjkr2rLfRy08afosfJaRru4GMignrN4
PaqVvtz0ULUVW0TpU0HEUX/+WywqVrNORdzDcsKRJjtr6zwaYYGOpn4FvY4iZDB0S3a9/8Ffbgpi
X5s2HbAeumbb/A1QmWcVklRb4kByovkoTvPoxu/7rHAOqge/EAu3a+uRnNpclzzAdEI2aysXjkRQ
IkUVa4ONk1Ebl2vYx1ZghkaTTE9Diir5FX/Itg6tCSzMaazc+a+100brHFgZ4i766vhvfdl15Unz
5PhzMjucKTR/8b+hhtssF8yHxRD2ld6/r8cCT7/7n+vlGrE2Dh8MIQnV2dxEKSB767jI2JQyK/ST
PbneCVSU9q+okwK65Fh+uT/ezvKQnRBCUOSi7rLNznBO5q/38i7yMlu46GE2wccVycMvnTPx2Q4G
e3k5AVojF6SHw8XLv9zuwCbPMmfpPFzOC71u3+amFTs/p3zCvx4JjdJ/B+rFmUINP94h0goN50mn
lFl88eibZ5diUkLVS1c03036h31Y166ZhL5eJ29FmVIhl2MSUy7R1neWLEfsF4Im+No2sLhD6miY
MMST733I1ir5ssq1MUPdQ4D+EmdO8t6Lfflm8jVdRHVNPBS2RUIbOS8s5BJBEPb1GZSRg3txDLbv
NGnScXAvx/bvYYT5tZzmZlrSy5pUGXaPEGjFU5kX0grzGvHyU1DMOpww9OCCZ/xdRIZZdpqNl0Fr
ffk8EuElPzrwnjgXmIMw0R4M0L61hB5/sObcaB5QKcMTozKKzqMo5vp/rA0iSK/OrwBBUGoBbU21
iv7D7QoBMDUT06VuLbw0CAW+7CdnFCXyyUFwLpbEOx9sCf6+2yMLAwkl4V+ACEVZuB0PwxTX6IF3
Axgukh+93TbnAeGlD9WEsvz9oV4eLXJTclR0lEgAyIhvh8IHQLSQPNvInNryGvtG8uwt+HGSOy7P
0E6OEvBfPa7budHIY1dx8amXZlvbsYbFAvsEgneJHdxMF7Nbv5uZTOU15//wprKs+K8eJV4REcHG
4kOx1HZ5qinMrCfPjYP4a+3P01ee6rQOc7q/8bPddcbfddN2bcjj0n6Xg519SOeaOkqSitV/h+Qz
iX47iumx1DLk48i2zPnU5W6rh4OZBgmqdoHzzest8cPBZ/tLa3RVHDpu6TTnUhSzCFeZOd+6pJT1
CVBM8z+VNZWf9azSfg4jCDk0JSb/W0L9sQy7VPSPdG6LNUor2X0Umab/A9YcGe8miLM19JaKgF2t
xndT2vIbwm/uU9Hn5j/LiGVJ5Npr+hfxXdecjRmPl7ApsO59vyZ+SXcka72PyVj037AoWqmja3Ff
npoeavlzmRv+1xWCnXhX9YnuhCX7tPm8ymRKPnixZQ8IHPTZWkSm0CvnQ1yiI34KCLs4eOgFPBV+
MH+zhsQZTprVjj+0rkx7mFldulxqjgAanMgHocuAVWUeScBkJVWNOP9Y5Mp22jZi+W5Cp0kPZYV6
XWiM1EgvNbWJL1LLSF8rfEOGkxvbSxZKaD/Pqwzq6YOcV+0sBF2wg/29vcqVcDqRLF1yzi4kjc3+
njhmoIEBfc1u1zwZQ1C8gRmSeadu4Q8OBlP3wO97Ww3m8dQSvEB9ARp5e5iGAb7EIh0DA1S9OM2F
9C5+LI9APi+gb6qzoXz7eJlUAc+xboeh/W63sPn0k5FViXaufDE/U2mKz47g3g07M5g/x8KRz+7Y
9ojnFr49hYWva9nJqIz2CNmKt6sa8XbihG04pfA1lUb4FpuJgqCZzouH/0RFWPfFk4U2ghdzgg6d
cjd1vk8Cj1u7txUV0GiRURCTU60PKKlkSJxW7TwAJTA1/N6boWu+zVi/W+ClpgQQhaimJDKDLvfC
vpFd9hBj20Blqxl08wSgZIg/Nk6WW+e6N8skjOc0Ns556eK60UO4OBtJLD90Yy/4XxeJunKCog/9
ya/FBaDiOp6wk1yqUDqj9++kp211DawxLc6Z9r+UnddynUq3hZ+IKnK4hRWUsyzZN5Rs2U2GbqBp
ePrzrX1zfmu7rNrXO6AFHeYcc4TEueekiLp9M5nkVrmj+dbmwt9SWeZBeZS9mF6Dchju4lkmb9q3
2OJFPvLSFxGOJivC3n+Tg4bUWcpxvskbFPWpGD1nflK63p5yd7C+1r0IbyJMxWxUaUosmRMITEtl
O9RXVpJgQ1c3HfngvnT7y6oojL7y7Tl+7ZX0VxJpVHs+FtsosnorpH2wVWy+MvibzldlKgghde48
zX48Bak191g91qK/ZYjUVzsjNuLhZBzXeTrPce9lwo2qa6TgrC6GaesTYvjogugAyjv8pZmhtH0+
xymhSSQ6TAha5iOtFQ6cdbNul6JpOyjjBKJkEZ4739gP/IUuZICL2Z4DgZ62JXZoaKx+OUjhrwjT
YlM9huhjnJ2uA0lPVhDbmKpI1cMu121xJzqqloc5lupbUdm4QQsSCZ+Z8HVxanJ3+dphNWlBhzTd
u22PW3jWY128ZbXVxq+mFMqi4hlFnUF/CF4Ba9dH3UzxTRGTA5ut1pT82PjjH40aCHDAgyP8OvVO
1Wa25SfPttnyYj+GRT7s1m5zImhDuYtNb+kN5BksIp+yNcrF7ex0hZuZCRVRSnKxqODkeKZM23BN
xi99G4/v2mrsdQ8jfriBX8bQwSud4KrdpFvvklm2Xqok4l+IiZZt7ZKxrw6qtfCLUnhBeAdmi9F7
NzXrT5r4iP+1dGdvOm/iAHH21jjzL5qKTu2L2GzPAaqV9TnyBBGmhLFbY1Z2arGullUFMouKuKp2
uozCe/xbyscZNWRwGdS8vZT++SSbU2OJDWkXlu2RfSQelKdj8sQ6tU0Vd+Kkr/BmbpOLQPj9kunS
hGZ/0toV6TJVTbfvZMhfXnSr9s670XSvxOGOJpVRZB2LaiJBAJ+a4ntpuvymX2LZEH002K8BtNYo
bT1P3M8LacuIHVx/x4agLbSWYLzzraBxs7BYvZ9aNdGU+jNKndTg1nLjFrFiida6eRRIkd0jRlPN
Za3zOLiKnBxipFj9wT4nKcMPsqqqy6BKRRd1bhYQMXvlJZLwJcu47FdTVw9dfoLXTL2Zp5wEtRxS
rwiHtM3rRWeJgXdlPHeQ1CGOT0BOj6bsJqQhEme5LodbVPnh29AtkUqnjTiX7JRWpQ542cw69RSL
6sKvvPpOWL6gLPfmIXoZa+Ee26WkiQpE62VFGYr5ds7dprx3CfiV2VipvsGalhFuSmvkxDtr0uYh
8lwV73CgiScsXQfzGDF46LLJK3JIOSJu+jQk1FynjqnK5mCprkDQFOfFdjn6i2ou2s2vflg5bet5
U4l+3RP4U9gHGeNfmkFkjpJdzivb0tgYQVrUai0P5J+elLt+Wd/gTQ6TxMXTRl4gOQ2H8ljlQ1+k
vdiS9lqLUPxiUhFFe4j8q3ew/BljgahZ7TezMNVNcTRZgp1yau+djptaqF8r77jNwI7ZycjwDkeS
Ns/kkE9wcqIlguLtVg1Iox9M9oVl9YlgK27eklUbMp1rl2U38E/j5GEo3OhWR47/TZTJUp5tw7CE
d8iB5+Yg+6RoD10j7fu1Drb15F3Z3UZLwTchHaggJqVsNpa12wznlRu0b/bJXiYjoXS+93UbF0fS
bDtzsWrTzanVt86XrVUTR7NriguNxWfAvMLtX8HsfI25VLd8qVfMzdNli6aJEDiCohflsV16NCjy
0Pp1fK+VQ3yLcaYo2EEk3uJ9M0PMSZsyMDx87OJfysyBgnsguy9sS1un5L5Yzfni5vaPyt/kcLHN
rXNPqoY376uxDy9qHPaG49A0Y8xL6tVDHoZUj7Zyw+1+UZW4tChRqSxyPosY8dI+j8TQPFmlZY9c
iGP7Vhrdu+kgB/s7+trSTfN8na5VzjLfLQZ/rwtMrcYe5r8flIegSJKz0OgNwRJptSodG5uwnGKZ
dJINEH92c4d+ZAcvTvmXSaEmLOWrwUgYXrI+wWPJ+k3qEx88cabpBX7AdNsUzspdqRT+jvWc28NF
7wzcmCSNlV+pMn2C552k77NIQ1a+WEpdlJlPHvhAdeBYF5SpATIqVv3WHIng62sEu+Xs4w+49jjM
B9XgEwE9eV+UkpyF5TaX7/B2hZta0m/EuZzL1U17TzfdXS5H9ID9pl15XcXYmzxvlN7lVc9EpUiZ
rmwJwZdddSK/FM5tvTltkoZem8/7lW2tM6GdxqMzmGJ0vM22qjTUK8OfeXH7PVS0bQTtGMf1LPer
tdg1Ud9+sZuqytNa9sPtaNXR2+y3/GtVKAL8gIxab4cKdUQmBCfVYSiTKknhEVQvpVUN90yU/Wmv
aycyB/xUF5fImnqqMi6nHNP7aEAs0oeLW2W04urQDGIFhBBuYac6NqwONQbL9eDITcPiMc5y5TiG
TvEkP/GzYJD5A6HdwOaOGPIHy3LmLhMwat6MqBJvp6Wd4wM/2Hym1VbqxpG9HR2XUpXqYggQT7yU
ZUklF1Vz8DJWtjVlZFtGr/EG+rFzgwbvqMidc3zaykZc4/Wexykg8rxcB4U/R+nG/xWKYA9+kUyu
1aSmdz2AD1Fa/rqb+3jhWhnsiuad9E7uUcUvz0TrmttoXitiv3I7vKOxis9Hd16srONp76SXCmyP
BQ4do9d4zcGvXHaiLImAPtZidsuDDXKepPmg8h9QCBD7UsLZxWNUD6O3H0JveKmcqGnTytfOVRLq
jc/SOt6XAoABezOrts6wJLLi3exq3ztylsur6GSSkMrVsX8CGATkU5qZUmCJ8500DWWT7eVFfmbi
pbSzSgaFyoZgCaod3hXOOwoF6/Q1hMPSdbx6V+dePB/wdOkevD4QZIiu7jqkXlLKLXVRrH9DEcu9
UY8+7GinIf2AW6Lri6wXVbxcehxQ1WWsK9Ozl0e4JljoRRdbCxM7XRep8gNbUsmsDaft2u9GN9/F
s2jWtIQkx70a+QpgA4LZkjV6HorjjEx5RochmZVXY0COsJhjfVa6lhMdnL5zX4IOGPiI4Q+bQBrb
vqc9Kut95HRxclXUZDKmdt4s140X1PV543BZpYNX4j6bMzV5tEflTPti3uw3MteUfciFq9Sxahb5
EtmGURI9hLgLFhqpTBYYwaVBsgwEq44rI4PJJmhJhF18QWXtIUYHKm2PAFdWuJNMTG3M2j32bldw
3xyY11hFGp7M2gj4ITObZq4PyVaU7pj69BygVeQhKIo8RCgZ0RrjU54EvJ8Ri6HXUeDww+Is1jiz
5yKmoOyCb/XoTjJrSAniMGJZc5UDn1wpI/FOG+0RkpbLsMoCpYjkmtbuNF53pql1Kttog6MXjs2Q
xYp1m4VbE3gHX4AgpHmQwBjn2yPc4slCp8MyzN/Hqgw7jp42+VKFc+xQQSo/L1Nyc8LqmIcLhD8m
O0NMGUYeZ1pDa36mcPYp1PxQx6lchPdj6PAPS13yo8ZDbMmheoo7kzDRwBEtSoNAG42CbwDab5Oo
2c+RV4/7Hm5hkEJEH4asRcbDcZYkxI+ozWrHY1OW/sXmmYqfgd+Uc2yDuvUzr6+ILdq8rt4ylInG
ybxu1nfBViy4zMG3+CmFCBs6gjK6Ur0kOcXt4i7iCsSS6i7nGP86BxM3SMW63NJ6C7crTgbKaq9X
lCYk/Lo/u7rI71Xbyddxa632yqv1auEuF5j9UnhY15wUK3lWJVH9bOt1lZnOFzdkqhQnl5VYg3u+
iONlijbggObCjfZlp80XUa3wXGoYa07m69yrMhOI6NLFcCVkc9nDdbCsXO6qjLsSLRuT0V2+hH5D
sTVYu0pZ85olowp/hcEWJJfBMBVfCoJH+PqzNq/zzHRqV0+Weu/9BFjL0X507vS+drN49Lw74zlr
B+InmytT2yNkzroYnvxeUGZqUfGZl4nwpCyUZNCnynPbKevMkF+6EiO6bEFg6u1KU7RNpoUsHjU+
whK+q4LyUiblXFwOxbzk5NaES5+Ca06PqjfBttdj4fcXeMsHP4uo9OtdOQ2046GziOhsRQjW78Yy
nJZU1Yn1vHWu6rMAwLA/uu0wH0J3buM06EJktPwboGKtTScw6raf0y3SpmLbJUO5Y3n637n68rfC
qjCPUmaYiQ/nPG8Je8+n90BOs3sdtVsz7r1kCn8apiQkh25DQydNYZqOdVVWuyWpQNxqkoEGru2W
f2XziCV7d6zN/TFLwTK2q+pkTIAGYGRCUq4/17wsLkQ1hQP2JNjAZBpM7EVZPvRK0uBbNprdWRyM
4+w/YxIZ/4qcNSDXwpniYldpM0ZXS+tP990cFl8xawubXantsU4BbsftYiNr7ydZANN5TMWVkDxq
Nz8cu7YX7t8STGFW8fzoDkspziYbsd1ZnHsLG9A23a92cZdqX1OY1QChnfdquka/zVHVWxkRJ/YA
CNMmgDDNoszZSes2pMGw+TINtK9lNsdzdG+pgCkJjtE+RNgcMztu7ry/aqirOFx65R5RsZDG2knh
RSkeROWvhkiBIkUlgC93B/v8fSLY6PtcjUVNG1V3zQ7S1FzTzlTcRSx/8ufMcup4ClNouaMqaypw
xVneLFHu8zUIwgMTirTLOIFXvhxsqYNXe9AMCcKk0lPqlX3UpxXnTLdXxg5+yTCkn9DlaeSJ5wJ9
d1VCa2Z98Xe33bh8QXgiykxQQD1aZrAmCgNjnUkGNHGK5k1xOeuZ6WyNaUXq5QuZtiMl/hfZSo/o
dqPnd6sT8qaRpfjR1n3+Ytay/DZTLYNV4wL9LB3smrO8E9vzSoY5v8+3ULI2frymHr4hInMbuIER
vVmZOqVwr9VKj4PYFNnmfjWOOGoylx/U2k8Pa1wCt4zDWNU005JrUQFAzzur4IbIcPYenuKIiNXU
F72557wGQ6iMtbwNlt//ksPSD8iVykhlevPrLt2w7rvH0Mt7zOe8PqcbmH8F2+Q9FOygn2boIe41
QCc9Lb8NdJsUXog8SNrhkuZ46MapTQ9Krr2/xs+SzlCnBXDDm+OMfbGD1RJVezmElN/4HY9MVoJN
3YHjrA219VTpjKFMp+4DWtDywks2tAGV23pfVRF2d7Pr6rekHmp9JdcmXhhNLlGQ2jIUw1Wpirjb
037jh22Spd+Vo0z685rRwXsJ1H+ZkAXZXWAqGd3jVXYymGPsOGRYf8XjnvqlvdnMoO/zWlffUZkv
l3jf5UXmT4X3XE51sqZd1wEgz4xyr6Nx6wXpTSHWwRC46jEd5y54aVsz55ygIUfOsob6dk0a0H/H
tzp1xlE8HCa/Law0dHMOc8N9xojM7i07azmz7zeHaxtl8wQ2CTMuwNPJdnqA0kp0D06o5vUCdMN/
3KiWmfppGue9cUhWSgUQ/Abi2Jhz3YKZZk1pjywfZQHjty0ReGml1s7JithKmv06eabN1Nzge+ZC
srttlIfjl0iSOr7xGSH+akjEfe4lDS978VRJF2sdn4u8XSpKNlsu9+wGwCHicuabUVSdwos6XNqs
SfDJzepaec+B3zO9mMiKOM1frM65koU3XRQAGXm6KOS6x1WJTe7zsosaWmrHMPRctuHHspryGVJu
L3f48YlqlxcBSQKjmn0KA+bov/JlMVer1Nt7U3OmXtu9s7BD0X5PR0phfRFsvTuerbKxzsLVFjOD
oXDOD+2SJN1xpH55S4yhl/WGzT0MuSfbXevL6p4cWevWjwb/cWSWWqazDKN7FMvtV1kuVrnv6igY
0tFy+V+alVzyLAx0R2u4+DlQgFm5OhR9Y5B5HOT1rpjyE9d4nE6pkt06faOorV6KOeZijHJrEOz/
mDkW1N/5DGxkm9G4emyQuq7otqLVHrBhtDsMMmpJoZAE5Y/c08GYThqCFr5iRjRMZNyxTdGs9yaF
Su8+U56ED35jojGbm9hciH5wknSIAuu80evkXy6hXM713M7lWbO6xXO7ASRdFfg8yoPAorek1te0
KL43BF83GpdiHwB0cz1UAFZnUxTnSbYy+n/GDiioDqjP+mA3N6ssDgxxxT2MqYZcFQdwauid5Ah3
fv4aSBNdK2PVDNlq1z6H3F/1TJgUG6Fuk/rKYZ41pa6uyzvLdbjb1azHat9NXf4m4P8NqdSKg5Ek
ZzRhcbP5bWpTTj3mq3YoI5uunvahzseXrengwKqBUyPFclE9I1y0flQsgB8TzIYiY2aRv/q1W92O
ExVEti3SYz6Oqctx3hQYX1EO3bzXoRhJPdRtc9F0syUOjj1aFzEHX7jHIcXvdqOO8u6sHputzULC
E9p0KEMunnEMnCvfn+ZojzsBtRddMBJmNyqLQ6Jc0WeFks75BlDPfKGX87FiMhakc2EoXcNWLzEg
u5w68LPQ56LmtKXaELD7Eo6flWFxUl1Hqk8oj4LNfW/hZHzvfYxfs9ppHGqCCUeLRJQc2jPO8Rnj
tzFKkz5Xt0u7lc6OndFGuHisRP35ybz6x9BpbEETUWwvkxcsdlavYe/tJgvMh2rCmass6o3/0jdw
ui8L4pfcVEE0uV6tNXEymbTOrd5ObSaHT1BcwjXtn3KiQU6kEtd5CCikx5SRGmPdtqkv9KnoyTAd
sx4jiZEIRlmVe9vQ7XT3udtu7y2kh/i897v5OS5LcRfK+FCKwR7PjOUUCrRdueAC/lr70A2S5HpK
1uWVkUU8nKGRai9piOS71QhOBmVc/ou6tdy7bdnGhNpST3BFaQduB64ikqriDew2p4gA1In8hpaz
9or9qeHWOzHU8Y6DVSSAN8ssz3rIXqBHQ4P5xUomfHOlGq/gsPSX6mb1c/NVcm0/eHycEi7X5P7q
44Kq9+SWdzV5SW+O/Mb+1q+qgTK2MjlIucc/s0vCs1KsiKF/bU3S0I5GLPOUqAsfXWyr4QTyYe+9
JQfbB9oPvoUmooJwVV7+gBuB3dOE82eVRlh0JNcMeAH94s4HoCLfJrB3Kys04PhuLARN8EzUbdGJ
1k77EM8wkt/DSez7Tk5PfkJm2OXMYGPcrw3yOdrhEHXuEG4DiSEkY7/BJqmHw2rRY+/tpeKycVUh
tmMC6P6MPNo7wcYBncuqGTmdraBWczqNNVqyQjkCjpGIWj+tqzgGA7K4O7geQtHt/a3DVJCiz2kO
5VZDhdzb8ZzYMvXksgYH7U2tddOCPRNsO9TNNPwcCqWKGyPiheyCsawpeMix9FZO0dKt3X3TGAsC
ihZQOtXNXDKeXrNw9OT8LGcptyMFzCCstMo9uE2JgbyJMZ1bWI/uZPwYN3q3hiKVijbkHNxH0umq
B0+EUuepjb1og4XoKr0nn/Dd7kZ2lrEBYrh0/LPRDpFVEavpUmV3tmW92EW7tOeVWWR0+u/asr8s
8KuYH0NHb5RaVrzF/U8CRl1KG8Z+PGMaEpQM6dxbwUKbvy22cxaY2l2upQ+IzsRg0N0vjKz11meM
k2nEDmoIRf4rT7aI/Gi/GpvLsSMe96UmeWV6jx3uzhs77vMwMxjPmy+MW5T91OqQWijLk7B1vvbW
ENjhoWmYEZ7ljtYMlUdvi7d3y/QnQg/lXPHWQZ2tjzxGMU0UpzjulSuRcIJXz7dsNrcTCRe8rMZS
GIP8WPkjVk89BAUQGCYquDzUvB3EE+McBWc62GbrsQ3cnkpjXoaAYUmu1QrFebIlWyqAdxF/D6UX
Rt/nMK6j6VgyJxVF6puwGkYQqNJvX4eYW+Y9oXXN9yY2XnlpyrKZboNVYo6doXvD8ruITB5dGoVk
41h6WrdXNh26f4xJ2Fj2DdD5dh8O/P19aseMCrDwJ8HvXZTCNE9hYVvmW74arg1mJWtypljf/LTQ
qZMjsPisz51Jc2UWtssoBXhtURerNWPqHI5Rrc/GdiFLZOqacuGqnMfqBkJUIQ/9Es39hdrsrdrr
oPXqbzh75JI+d4zVHtTTt88UVJMtrbp1c3aetbYRswzAlmwN/C5+rdkxD3gCVuZqXAO6mc3mft1P
ZsIWAb/n9essTPFTmc1R5yGHQL0zfp1/tYTq7VRYennGZVO4B2Mn9UPZt96cop5vCFni+vP3uJjV
/Tcx1nlEr+Ul5kwM/EsZ98aanwu2y/scyCrY2XCd1yPETOcZARIYUwBmn6RzAg6XIqqx7pikimZX
x9X2bZVR/4Ae2nlaY2FHNExjuR9lUXYMEagR00Iit00ZoRTXHb33XYx7B0Rmf2yDNA/z4ts0itHJ
dKAmnbbDsL627rYuFLLatnfO7MofK6bkr8tcmwuLYr+BFtOH5/OI4T1NWri3PPYFIZf1uVdVEs7A
tF0xBtLNvhfav+zZPUu6uTPjm2HNCej1y6W+aiJCMhfaBtpIbxjaVBfuQEYAg3Em84BA39vNMU9D
P0TAp1Gju51soLfvtoLJ70PFifhkW2oEk8bDlHCIICpW5hoeJITGCSF9FLzdp1IGkKbrXqtXeEfx
Q163Tn0QXR5FDz3J3y+SQEsIO74J3pNe1ytgTDCuu3wN2i4LFlPvlUjMyduhjnBqxjSsyRZDCu7V
ODkLdh2NbM+1vRRnC2Tm/jpAylTSUgdc34nqwDKwk2Neg9kk2M/i2sUVovWgyYY5rwTY80h+Lxd/
x+BT5pGfyiBS36TgbtqbtYXPUdG6cxvXCcm385avZ8Bawt+N8dgWl7CprJZkw7Jt9mW+zc8bNIFx
Txu5fm9Dp/iBkX0cp0sRmMsW4yd9WKUsv6lpga4cF0V1Nw1+yejSjXt4i+s2MWWZXHVJv0T7ig1/
cn2SN4jMacNiymD6MIdhuMq0d9IdyQdDS+5qSuDoyGWlG99KZb5Nj0VBZ5ySxYV5fkSlo3a+Wc3d
VHl64JWYwE4LTqAtFSpqOPGcBMKV0CPHeZJgrX50gDRfGOzDfNA1ptQZyxLgutrK4VIYSqy9Rrqj
OdxOoYTBVsqvtfT8JzsxeZNy7LNu3HGd3CtrUKpMbSZBr0KMYUOPN0Lp7kdVxQcOo7g4EKZaHGZ7
sOYsYnjlHBonGe+DUWwn7l/gXvdChXdY62Dz2vYc4qm11fG6L8p1vSuh5j56pZTtpUrCvtjnvq5E
JiEdTPs8yEXMrIci4xArpuInCAFYXwezGMAynUAeHLet2sM8+An4Dw0gIOxkdDavzvyt4+71s8bB
B+cFiUW37aQN9w3crYjE3i6SEpf0yBsvmaSs/atTbXG533wrfov6MfYyKTuj92xu3BOqtmvJdzdj
4p9Lu5+utSHlKsMJCZQ9btvuwu0tIOzCoZM7UCC4X2Sg1U/OUIZbdWmfwCKQbZv20zhxpirCoJ+r
Sm1nFVSKBgzWYjQLPah+VoUKnhyDMfGlw313v7VOSD3wd5Lmv3hlsMWxVYpxPbKp6T6aHnXNtM4U
VeCwQ6UOrSmCc119+pSPUlhMfrE7wgEcZ7oEz6MPTHiaFBm2WxdnwwAGHTV8/aB34D7VcDrM6oms
xI38k5/2L37e6aH/0EFRZIIonv75/9DvZ+FwE+XYUvukDF/ik9w/9kQMHFtG+P/9UaQmQ9bFPYpb
5aNgCwcep1nrIcoGB16BF5fTUYT1fCwc2X3iVfKRVXvySz6ltP8TCoET3QeGXrEMHdtOx1leDV1a
56Ql1FFbHteqCtNh3j4TMfxhgZwIw2RSY28GM/DDp6vXYcuhkCTwB1b3vNm0OY85SD95gX/6VTCa
0bS62J/+a4EgZm+j2lRJBoWPwNkFBriXO/Wu0QFj30oFn9Ap/7A2HHLcXQp51BJM6n9fGy4M8XFE
4Z8lofxe+na9Ewsc83LuP7MH+dP7wxoRtyoOdlbjB5YoEjk5SKtMMhAQ9QghILpuKHs/eX//Euyd
lkWCTo8VEeKv8FGnOwQqoDvkM1kTIH5fD+41rA1np2LLu9Uy1lnVFPmDDI3zhcnivHfhyDz+57ME
jQ+cb587E0XN6VX8z4ajtYuQafBSRwV1PisTqCqwtDzvv2aVOIi7TksyBrkj/dn78CC3KlByE3iK
SjfSfkrEAHyyxR7cl20ZPrPt/PdS8TCBZKYF9ZZzMvmw4azCGRmd0MJbRW2+Mz9huLniifCK0K78
LGP6o2Dj9MtOWt3QO9nO8wt/f4VVNTo5Yw4Ar8iJr4eoe5NMqQ9UNT9Av9oMfYW/q4VePpHy/PuA
5rknhw7234nS/OG5oYmVRUHPfgh0cBiI68rk7EeHNhmGnSXCNbOd1jn8fb388ceSWMyagWyMAOf3
HwuZxPiyZq40AWagZYfqDsdvPRgCB9PJr+XedSRMUsz9//P25+eegkRO+toIBdDvT+58SUBQa5Is
97b2S2O13cPqNUCpi1na27//yn8fAEh4cTw+3X/cRx+NY0pvrAYtE57VifhoL6s8OhtzhL8/5U+r
NKCjRVrE/nc+ug/QlufAqBEHqAkUiuGeudXctZcr/PhPbqA/rZXARfmFmDQ6zYJ+f3lbnYwywoEp
S2Br3ZhpzW98uD9fHfwY7P3W+fmSUgRUwf7vP/FPLxL/O1LQSFRERnt6Bf9zvFiVDf4509lui9t+
a1wRtLsmmbxl9/fnfJTKnvYgwsoIQWeA95j34W4YLYfsgzVMkBIgFcQClh1XTc6OiQTySQgMhM/M
wbuCBHmzePF/jao8PZ5jPIiYXOKL+jH6fdYu41mGy1mOSXbmY9aeVm5E4NxS4W1oT5858P1p5eDZ
ePJi9cDtP/prFphwVCsy1iyebX0gA+Y+JzRoRz5a/Mkl9dmTPrxYHES3cpW8WBH2wb5pHQIfqjrf
tXLwz//+Df/4qFNGq4ttBXZjHzY4cFYuVO4nmW+V/neMKkhC98rhy1AWn2WU/7t0OUVr//+jPlxG
FBjhzKApyXSRYFbtkicqwM/2ZHwHEDLJlvz7T/t4aroBhcvJ0cH+x+E5+PA8mhvM3OZ63i/W4hxR
HxmoWWtyqE/ZAZ5n9CESQDje2oyfnGQfX+o/T8YYCE3h6db9qF2s3BlNo+vO+3is419t3yfnNdNf
jPGd/pM9+KdH4ZhoczbjNhj4H86YEOP9Zp3sGdGsjn9BqfczZBFPk1bWZ23Cx+93+lXIxU7+wKc0
ho/7rWlm5ZYCFqvlmWsmLs4X1S4qZTgRPjRx85kq7uPpyeNO4lycYuAsYnj54Zc500zwSZzovbFK
OJJhfAz+EU2goWBo2vf8HUzvPvlyH4+000M5TqjL/FOjl3woQstAyynqYWbGDDlPiTn1mcaK5Fmh
FT5QcQR7QJ7+ophl/FasZnn8z0uWkoavSHvk8Zs/bHwtGKKptZ327aqm41Qf+v7Ba8V81xZxsGfU
2kMZ6T/70X9YQyjzE6zNEnwPUU39fl/omWKeh0z7WlXMaULX2jIq1PCXUCVcgr//xD991pMa349P
Brgspt8fJmeIIdRmE0Ipr8ySNlxuelWMd7mzFodJQjazht7+5LM6f1i7SKawacV+kHCPj07lTRkJ
W9TDBBNduTcusC1TlzicvjdTn5xJvSxPUbHVF9U0uvd0eM0LoLC3lyh2Jfk3jMrypC1BppBr7PM+
91KHcPHPKug//pUw1E4GgnBMPy55Q5NOqnQFKdlGoCeneEtZJcGZaqzxTIVB8+Pv3+JPqz1C6oIg
He6C/bG6Q+zZtV64zHsPVrQFB9Fq8r0HowmyjOkuyVItd6iX8su6bMazHM8Lffj7X/CP68P/qtZO
G47aKCTpHlNkKBS/LwcFyOmeEoz29RD+H3vntVw3lmXbX8nQO9Tw5kZXPcAcw3PorfSCICkK3m/Y
r78DUmaVyGRLrX7qiHszKipCqSRxDLD32mvNOWZxoO1WbCzyz3dWlGR+3c2LV3XCOO3kpQ6MvELG
zTccNH2fMUpB4PTzl/PezUnUjE2dDSxCf4viQcAfhZXKiHkZ4+JQzGK+HGTMFVJsPGV1ZDFjmppf
3JvvXRPkA7UvkFh2qzfb1JjL8iKNkQhwBqWePqvDOooS1mU620PmMryjm1CEuvWLnePd6xIWsJIq
kSW8TURTmIIvMW02wss1k/mBKFdwbE8OKdOUGNusJMebNGv0X3zl714XuOG6ymHkfvuNVyKekt4o
RSCrubaz0sw0kRWL9BDi+vaHalYYimAm+8W6s36Mb280Hi22MIDYABzXZ+GHonhE3turGk4PgJnD
bZJMna/2pnH78xvonSeKYB9s4zzA8CLfcgTQkuaGcJYuMNsqDRyoQ3tsAYgouugrtuXB69RJ9SgN
NHj+vbb/+dXf+Whxa8oEeOoKqr23dQd1wtxmSsytlKfmITVRzdtkMm2pULtAlCr8gKb7FTDnnUWL
i9JNoSpYXexv7l92MkizDntW3zNDhpzC7jzTVM+sMPEsYxx+/xkFdaSumzSpy/LbPdLuVuCyaYtA
z2fp0Jldexmj7K02Mt7IxJNzEW1mx5ovfv+z5eRPSccHqxLF/Pr+ETgmDNT0IpD6RWznSil2wqjl
AJetfaGiV8cg2M6X/4OL6rQ3VNAoa+38+qJ10SVybrAzm1lcHSadvndrG9JzVNfTVi7VM4J15+wX
T8o75QBlALewyueoQuB/fdE5TC0z10MRVGHR0eTW+mtBxmbO/tBiQf35O3ynSCfYAjc1dy0Xe3vo
HwQKwn4YKbhmvMUa9rETY1y0a4k5pitwb3sajO6NyJb24edX/lv4KFsPg1ASZFdw1hp5+/p9yuXC
Fj876InoFDCfmJuzhiHkVwwY8yauNeJRtbo1nu06rPGuo1FGzCGp8klO8Pct0xgEiepYxj6qJvwC
P3917z1V7Ms8WDQpOUS8+RKMYZQlVm72RRuxmk1WOuahyDxlMi67YTT8Ltnv24dB75oOLDUZWRmv
P4w5thWraTiyxD09a0NAL1BpTm4TVai/vwGsfGB0o8ZKL34bhsOsSOti/GBBiMZ8S8l7V/KUb1lg
OLs4rXHuqEUW/P7HSSAu3DsQ+uTvvHmQsLRVJiLuPjCKil6BUvbnY1LOgRMiLNHJerv6+fXeW4lh
7NmORjFnkwL1+uO0S5nczbkcgkEP5d0U9woe+k7c4n5UYE8X4ZlZVdmv+gbv3TSATMlxAXm5UhNf
X3VIYmeM8BQEZW9onuk0KMvyRPIRBkorkkD7xTf5zkqhoRDWNb5PwkDeXq+2WYEZO4+BMUfZaW0k
7X2r6vOWflr26ecf6DtvjU45KDjeHy1fc/37H7ZvY6HXuSzpyBgS+aVlNxY2YhMDotQj/gYVv/yi
LHvngjouazZxZn0r2+/1BctKx4GCWSLImijclOb4UuiJuiMqrYZ+VNW/uEHf+SjBacL1ZcILU+Lt
sYhBes/cVx6DjkUrQNmXbdE16KjLzV/Bw79R3d6UQmsdRAIamC+6yW8WPjNGOmYm0xSINJ53hga1
oEmk/jLtU8U3R9Fx/JTLi6Tv5JOuxl9jdM5yLo999DmBhP2Eq1uHcKC1u2ENZLE0I7yOwrY/szn0
nXA/pLsSE8suijLxKzzZewcGfAocUmk6Gn8PuVoUjQhN9G+B0XYVEqEQI5ahTsaBiLryvkLJQRU7
T9GDw368r5oE7ghSIelFaFWCKQQgQOf//N58Zw9jGsCYTKHWsRhgvb5VZKkCjNpyqyimkBAbFfZK
XxqgsqDoqhU92y2S02GurLRfHODeuzK9eRrZzCIgFb1dZoyePPg4moJUtr4QOKFTsC/iDEe5EShC
ze/NbkjcsXP6X1Sa79yujECYK3Fk43ZV1ddvOcL9VYpamQKg6DHyMjNzyQjUAqMZfhXD/c5SCmV7
vQ69cPgmb96jJvJIYzucYDaEqzhfH4stSp2JGe6EuHFe2p3VqMMv3uA7j/+60hBBQWEgq2976LNi
9G1WYWyvZwgnMopYtNrgOnbLOJWsAKA9au/nt9HfPlPuZgpMY51N0M57e0Jh9F8pk93PPH1Jd9Yp
cblVK33cIqX83bmgyqW4YSFUUMXYf8ujq9N8MFMLDsYqujzBe5e42WCjM6Kj/YtC5r13BWlK4xu0
gda83e1LpZ5T25TmACswHfqi1XvPQLQSI1Ma8+DnH+G6jb9a2YAI0piEkk6DFeHtmyfRxiaDEhZs
QoJc+gwFNqP+ZakAsPz8Ou+8KdYeDjwqnx//OK9vfyUCehA12hzkAxwEHc8X/hdyfiOnah5/fqm/
3f4rF9GkNGbF5ujxjW35w8ZnZg4IgrVhjm212Ym+q4MOd6Uvemne0Pqe72UlHzc/v+h774/2nLbi
ZDkJvA3DimHkYVZVEB0hX4OboSZX5UzPzhKIY/8nl9KIIFjfHLXS64/SxPemoFpc9U2ClFqjQ7UE
fw5JvGN9n8f9x/P0f6KX6uL7jdD98z/583NVzyC+YvHmj/88TZ7bqqu+iv9cf+xf/9nrH/rnef1S
Xov25UWcPtZv/8tXP8jv//P6/qN4fPUHLBD4gi77l3a+eulw7ny7CK90/S//u3/5x8u33wJs/eUf
H56rvhTrb4uSqvzw51/tv/zjA1P3Hz719ff/+ZdnjwU/d51Xw0uZcOd9/23/+pGXx07844NifqTs
QHDEV07AD3CRD3+ML9/+RvsIJ47TEcdtZAoclj78UVatiP/xQTc/MjFCosT2wyiVAIYPf3RV/+2v
jI+gZFEB0FPk+MKk48Nfb/3Vl/TvL+0P8EEXVVKKjlfz/fDx6rFmBYY6yfXJO6FPvd6uPzwDEwNb
E8xG4lWSlN31uRU+93I1oq5bVlpRTgLE6HWN4SQbEjCbK5gYy7g1JqURECumAUcPsUVIkPs43tFJ
F0oQdXF73sZWIaCsluYThKs4xr62SGe1Eg/zTs5xqMMG7Rp1y+gTieWsJG2ERgqBX6FF8UmXhp1L
T2mr1w6YmzLOktvIFkoV1Dpdrs1YNPSJjSGxryyzS7F/pg5+y1aDAtM38oologwzcTmm9ulSThMG
XnZA9N0NEwjMPloLXgKmXednWpidY4UHo9BRrym72IT14WZOopxVtWSZay+rJV5TFsWJGhvRYdTB
UoPis9VHJR2wIUQlW7YnlU4l7xtFR7QbRs1iI7ufJPCneuwcdRG2R7qjxREDl4qlnHc5eyjdS2Sj
6ojDd1rwym+mftDUcyNKINTl4CCQWDVWJjZTW4qHNIpoJdNZGKJd49TW4BP/OT2o+FWvtJKvkh6j
LANamLMBT4img8YHDfxQRIb+yVIiCIDRNH7OkLCeh2YyCF+ZVheb0WqxtKmrKkY7OqVnWu14CeRp
V60GxM/LrtYRBdaOXXmisu+cqDtUMRZ5ScPlpSQbB1dFU0vANB+K6aLV80NYq144Rz659jteBawk
r9GTPWifhM6dPxOimOTTox2Xl7JyBIXiDvZyv8SZuUMWJc6WNIHF27iqgWBdLaxA1oqnRVLhIiaw
jIoekVuDor1A69qfKobYIu07n/r+Rg6dk5j5Wd69pPV40UR3gPxf9EZ4aSQ/JH15LCjbysU+78X6
EU8QB8K9ArvFG0FShHH3AJcFik16huli2+rNJc0c/Gh2R5Om3DbF7CmAS0brpJqyxo1IiZtMdVO0
K5Q0jJks1cfFLtqtCo0CIF8D1ddJCjcS6s06+bs2KZmf0RHstYl7zkaF7MdWjnml0pQbLGJ4g4mH
oUlhXWfA1wYPv3u74I4w9GBQZukBXULi6k3/Vc3aU9NOLwgTqw+l0aXeMHbjTQdbobWyTR/2J3E0
tGfWgLJ37bAPzV44R0aNfje2V7D3SOJasK86947yKM+YePBgOb6C4XiU70lLCQDl3MM+DKgtdsxI
XTW8mLEgL3RKNNtZAnoY12bReVJfuA5Gj1Su2NM+mzre0kVca9ZIcLjp1TikmlrzpWLyMQvlprGx
ncaTrei8cyRamToMoGmTERyVEHaDf2ozjQJddXqIEszupbRBU3+0O8BkXQzJpeRsxfhZ57XoNW5T
UV330m2cP0MyOWhWihv4QTVxozrNs5XGnpwcIGBvhgrd+7RLlOg5hrJbR3FgzUIqcacPn7B3YRcK
gYddj45yw5im2sa680RQ6yO32mEoaFJVMVrlRi18KbscHQqupG1urCYfPHmcVLfDCkB62mUxWZtw
LS7J4GChKh9MIY6Djox8FXWgMtwUolb3uOb9oVy2uiQwgCchFCPjvE+krRmOL0Y/cwDTsfRdJpB5
fVWDuVBFGUplGzNefsSyiMBOC7ehkaG3m7JioyRGdoDMOF1xuPXHZvhkSZXi2ulwihHpTFuye1qi
22rQkEirEt7Qfm8s9nWxzN7QjRvixajqzuUkOXHyZQOuwqtQpbvAbsGMJk9ObLsd8zn8R8kqkG9y
lN6s6c6Gc9pJNrTmZgl5XLsHbVA+N8W0s5i6XZdjs9VnwPmFdon54FwujkYiH6PM3uIwuJkq68wq
W/z12WyBnqqb9tpKhytVGvf4BQOlu5BmwHpJdDWaw7FtspNSPJIGwB7UoWjMreU0Wr1PUXQ3a+2V
Op44Y7sZWutW1My6igmmGZQbsZ3GTHOTepwO0XK0KsAKEvxRJU3Ol7Q5Lql8zI15p+s8jWOHyP4y
rmG3m9LRKJbAyc9ydVdo7RGOtOVlVZF4XVm4+hBZsJQBC6fCCipLXjJQMY6DdWBo1U3aALrX6plF
JQctsaTaplfDr91k7FM72yU4/A9l6bSPhQF0VB7snVU35xaGJHdBn+5lw3DLyczBBGJrhovdMAuq
zCy8btxOaUvuQX0Uub41GDKxry7iPBEG543nNpePCgBu/DcbMRRBlrHWp1PQIuJLYnW7ZP1TkxhH
eTYvlKqlC7ps9HHaGCD+VONpUffOAilsOrehOi7dBblB/igfVrm+yUkft9XOqYDF0SnS40cN5zyp
xiMQiz7rzjNEJ4xxPTy942NSd0cmyA9L14Kb7h+KRDn0MwglfB6Y83R3FsmmEYK1dWo3VrFvxjLo
I/Nm1HP13sY+g5H0SEPMS7L6HBEri22lFbd9a3yyl1blMXsmXYfEMvG0tP1m7KTqqQWG1Fl3gzxS
sNDypucLGNy2g27WN1q+Gjba6iGWWuAwiXwxL5Hpz8uFo+yL3nEJr+chq3wJNJAADmZbxU4rFlbB
5JHR/SOmdr7w7nyx1VNVTLuGxVxRqsUXpg6AMCLrTyKmfnR2mBkDacB+KScPrWTxfWXHaGyUSynn
1893sizwZeFwNM6WNiVcvjEAtYuN0WKgcvRpVzKX2HZGhgEu35G41eFFOLTLtDdH43Sy2q8G21qm
LFiZGhXRYuIZ87ir1r00o2q0z5X2Xodky/54R3gh9ujCXezZuRThhR1Z91Oa7REHbgocF9P0RAQk
KJ9qOjRyHaRGj2Ex3jZacpI60U3a16mrYmsolnTT6yLxKPwady7HoE3le+QmHBJIj0jrXdt2Z71Q
XOJCNuAb9tkM5WzRjI3m9F8igsc8w0hOO7s/GevswtRis4F4JfxxVm4Ms+HZDMd5rwm98u3OOEZa
uNcs9gN8xzQmKLdiujHn8NR9gAXbXhnki6hln+ecnSjBkn6Bqg5aTzWh05GGizejENNjYZpuPvAG
52swgBu0n16TfdZSm6uUn2oYaIMzX9lm42nzZw3TZrJMsCyGywRndqpXXpl9MrD5TIvqplNy1iDZ
HuIjfA8PqpAn2zvTUL70ZrRTWeAzQFh5RUELLAsCPzsd1HPV9qxO2xhJCelcWTEOmC2mC6c3ApzH
npbFrrBN9uXqzqxKN00+LfU9bcwZbmhSnCeSwh6lgnTQN9E8gx+oVkwFHGOpOhuLnuztQSdWE6Pg
iR2v9sCii+BNNdD9sMIOvNH5kNjWQ9sY16Mqh/cGSfJ2nO6oSnatoVCR0tgzQcgscxBxIABM5Rfl
sKmjL7h1/AWuaUv1KOPvXjfXSZs3Iy9kWqqgJASCcz23p2Cvk5dbRbGCRYt0bDOXI3X3ZQIyFzQn
9J6FyGR8jpErGu20ztS7oXkBFckE8HyQDwWSEics/ZVmO6Y6nDaY0VNgxkdreJyqYHZs+FcGtxec
JDPQypfQGPZZcd7V8YkhqkMn59HDUMbbbph8rPpBpgPPnIuQRV8NhK5f4zX2SxHtTYFRKR/7FzS0
rDtrfHTOjM7AgzKBk8JpHQVaxAkj4zzjlghVOEI8aI1CDUwzlx5I2ajijqSNZk+nAWtd6re8BOx3
su6XwItdS2jXZUHLhCtmzW60BCpZmPjk9m2r1Hi0uq0hOW6Sgh6aPWe0vnRmS1C8fMOMEgd8zZGj
iTGep5CukGLWHpMAvnKre0oQoU+q9kX0w3jJeIBdmf0n1DdzFJ7o1guslc9Ne6LN1OSZ7BbDIbXj
U9pwOzxXxmU59Z68HBJJfSksKphK8qcWR1dIKVQ6HCFklYecJygMIRpDc7HkJiC0I1jrHXVlAJrL
po/VzdikN8nEF2UU+3h6GvNpl6faKR6/rVU7244sElxIgLkDI9FIMHoO4/Ec6ewmWpGWObTOPvei
qjzAGdqYrUPkT7lRhqvO2hXFFa/VwVWOcSs27kBys7lYlyQ/cDxTPIQlp5gN3d62dhABNsvwFSeX
O6jzDRhS4Jzy0WaxhPbRbw2Ns+fYXihp5aVF2sCgSoM8xl/YKdLlbMaPSo/7TR4134DWCTRjSITX
agjDHYR/SyhdazC8oEscrcn4PM1DsYMeugNWFu4zEw+7tkjnjgXgopRdS0kfcgsR3+DnMeDJzPAt
CeGTbOTtowaxsbHsixIKT5GdKGl7EYayFQyYisGuFRHpSiih7Kg8ZVzqVnGPTMqcOYm3X7HLu7hf
2bT9AkCuG2fyWUj5U3b+t4TdHG5Hk55Gi+SBP6GZrHfbIeagmaiWgnV1/BzbrOcqrJaFUhECE3CW
RzgcLANaLgctklKAypQ/Wnmj8qQXnD/mVnH8kTknuIjhJFc5BXK6OaqQKrciSXaJ0Xc7x+igeRn5
NYCxsAnA5GIB5pAKolLxsWOg9lv3DUDFX6wMzlNVh+2JMi7ioFq95uUREwXJwe+bKNIxy5pnCJRb
DcEgX/+0deC4B6YNtrRpokMKLBzXIkBnr85YaOxmOkIVDKw2L7dDv1HMcXD7STsYi7zXe8fPOvu0
19v7cp53BQyg2a4Sd2niiF1O8lSneywieESNin9faZwAhKYHJw1qfhuIKM0uGo3GpwqRACKHZe1W
G27ZmtvZPgoMg65l9h5Sziu9lM19Ul/W3ZZBghkMYUXfbW/O/dcl2a/fXb9Z7DXqOSVjkwepTefF
peSZ7iDChR0oabv7hBtxGN2kD8XXUNVDdTePY5q6jKDgECK3tGEtZktv+2pYyybu816i+locfmge
q5l6Wpn1874qOEvlqih4/yXJTwUOSOdM7oXTslgo02mv2n2yhxbiPIShMkW7yJhCeWvi6E480TT1
+VAAiPKxLClH4E7sPoKnlfmHohAcNymzdYGzinOBWkd8oGpTOA/jwsli2woDiFpb2SLkrTL3WwEv
7Vr5rT6nDm4sCuzYVi9KOmi8HMlivDWPWf/lW1vu/3coP+Ds+FmH8pi8PMfipezES/Kqs/nt5763
KZ2Pq2HDRgSJKkJZHVx/tSmdj0QL4DjSddwWDBpWDd1fbUrro8oAUpeZ/uMTwv317zal9ZFpAUN6
4DeoplCH/k6b0njbM1+tEDIdesZwsF/0b3z+H5qUPVAPU24bvIVqQd6LOXeHRejnVYbnewxFv4mM
XDuLjRbvst4wzpoWy9fKmdOU3Js3VqYJvyn1/nQhTX2bweAjbeVJ0pMHEidaD5SpDs8TdYSZjRBE
aWNQogMBcqUka+8zc3TcNrep5mr4cHZaz8Ile3kMarRwnD0SGLnIF6uvMf43X6+Gzp+KPPQY/C63
UlGBNcxUa89oiAaDZVBBRHa5se1cP58beIQ2FCuOLvEFjGeQs0BFeG5ZtzQtTbaiLAHoAF/fhk1q
XdH30f3ffzJuqoL/vW3Hv2rj//fa+9uXam2Md29/1f/Czr6yCs3+46/2+d86+8e+616KJxIJqh+b
+99+6vtTQ28fVy93pop2jSdhja7+3tw3PlqajjWCf0iDWZ+Afz01hvxR4U4m6ZqvmnbKGpz6V3Of
h+2b85RpATMBJt6/89QwmqN3/2NvH9kraCGkg4x+ZEaRb4ROc23EeAqgVKqdwPLdT3NAYATO/Cpv
n5uaLi/pRcUuToFoz05Ye0Yjacy708KPlYJuYrZQ/hGOAq/LVoElOTR/1fzJ6JDpLco40tWINNeJ
xGNSQIK3wruq1T8t0NbiRiMcxEi+EsV3I3M6dM04X8MPanhXrVZ7ojwSw+KcWHN0BRH4C+SB3u30
utlPC9qaOo4t37QnE0FnLh1KB1xBE4dPDbS7T0JZg5eWOLmeRkyCdZTSIgSbcSoUpgKmCe2zjGSa
VgWiq1JUGe9zZXmVHQnIkSL7MCX0czmU8TKZkNWcduy8iHAbn2iirUWugF2Gn6NiECeZml3CgM0j
QqNoxuNMbLbEWWUnvUT/IEssE5id8hmB4SXF0LQdSvqN8ZSfOCJnIkt8FMg6+pmgJ8JIs4FBFk9G
MmrbRDhwr9uo2aSqAyBuLaLlBWk6Xw6Vfj10HtSr3qsKEAuclR9HYXI0HTkfw+ETJ0ghokMn7M91
x+SEJoD6VMkpSZVhC0tGZ508xCkJjmRuqQDzrNtSXrvaUjGfYmqRvFqVU47KauYphPWBwVz2hU18
QtJBTSBq6IzygUmoDQFhleP5hOhcxeA13G4hl7wuyQFSExUbMV1naDEKJ9OY9KwJ8JJRt3ccNiw3
bGab/xOcx53mVkvhHurrgVXuqeD76kYmuMCzjWmhNB7u6lqIDfUKOFhIJmM99WdqSBHfopCEWsDK
m8fz2k2Yd3jdIxK56NzFynAvxsr2dbW57pQmdOduOBU6ZybojVUgE/BDv2/e1CUH7vUVpHb+GMJy
glR3hIuqu2ScJvAV4rNlCHO/C9UneY7MoG9SPr262tS6/Kk3NbC54H6VIiae09AOObJJN4rYCUpH
eWqhbBImsZyTNXW72CbZhhyM1AmkZmfc540UbkRoTpvZoDYVgworp55ar1VLNYAw096Mtbyztdii
5wFlZwQsUpUjEhOdU1ElS/u4myY3t2GCOG3/qdWimzqewmtDaiBJR6kWaHHMLM2hg6WrJ2pn79jl
QSqFNe7BxlInXnmibJIKvpqTQybv6qnbyyWYPDtpP3VWrrsjIhiUA1a4S0GTeMAmTuShn3aD0PYy
tKqdM2vb2ijT7cD9dS+L9kmYuNaVsgKovn4JUcxpDlvHvEkG+zOBGM/20NwOGiezyQThZtO49zpe
E76PxdlyLja92OJ15kN+VjtT7BGOubhVZx2yXnH2g1ovx4l4yZOuVBe/dEzHT43KcTUoqW6lJJ9Z
E2KIYHyv8URzQzGz+9bmhAFtV/GtbrzWjPQT8LxALPXi2+qgbSUNbFUYg1NlmpLvWRvVLe4fy0NE
QWJb0YAnoR6xgTqLM6NdgpkUZU9A5wRkVGs78Eb0Kmv2chp7sLvsTL+arc64scrSxhc95vBdcmUA
luOovqLMEFsEoy8VPIpkYtzMOVyrWUejYUguqbgO6toeTyVy3cpHfVymK7gx+1BjhiblFsGGhGvT
AZAtd1TFGWEwTzTGsq0klrWFFoZf4gh0IOMVKhHr1nHSHhoVXBiV7BbODsttX1pPQ1gwL6DjSqiP
6VZpo23CsLnPRyfzCSDalZkTBUUjPy0R33Ju0f/qckL4yPPy81bQBIdXc0gtyfDHcXB4fHg9iuCo
ECbWS9b2sivnzMNsbTid1OlLNUsAZ7HEa2NX7bUIb48FOe27WOS3ivr/J0uXVVH9X5cup4/5mpH6
b0UCSmz++F2RoH9E9MJSgM5e/uZP+atoUXQqE8oWxKaYSVkfqEz+LPU18yN2EhRGFloxGe0WSrE/
ixbN+IhBePUaGUjpNdSqv1O0cKnXRQsoDAd/HjNMm3kijhJexI+CBHmMADtmLJyQDVy6lIE66n5P
om1p9pcl49BkfhRQvZX8cYkv7P62r7ZCTSHGx5dyn261tPam9FiILOi665FGUUVTU75D+brTaH8l
dFyjpoJ6wyqw7GzlclFJbDMelvrUpP22Xnqsb9RpKxQylQgMeQbm60iBAjL21pwu5XxrtdyUfjFY
XjyVe8GgWqvdilQd7GvkSO6WJt+aNUO8yCNO8qTiX1m57JsJDGsCtYkskmlvJ+1LDn2rpbEvdxd1
BKJaf9GrCxMDXcIEbCgJOai/kp3LEP5hBq6lFM0TE9lzIc97SWM3ZZg1RrRstVNSAjYJ7ampeLCz
JypPL6kiz0IDIfWqixbCV0KvGmlozBoZ6M9qXR8r41oO1W1MO1Wr7gw7CqZw3Bhr8LM2VrsivHMG
OnB1tCmq+AD6PCBvaaNMyp5zCh+i2IzKsKkw8wkpIY+h3lE0oCn4CsCAXhMtsss5+aw3+29o1Qry
2iEG32tYEkQphBHtWZHQZmfhCUmZGtdQCfqzEwqHXS6/KMuzvdwwe1VoqYhWCxTG/vCwwEu6Ikou
nDC+gfcUZNbOaKOgzbKt3FEXWg9ysuxnCXp3PQYSJCvY96chBVWubEO4TnHqdXSiHKZJ0YIWmPyh
iUltwthGJeEg0xRmGtp2hv9dm33Q1kNgTfWZBpa2Y0Fn+C/nYxDHtKUl1VPY0ePmsczpIKXcOonu
yYdxiE+SuNtSgXldTxLVnBxqxI5Lda3BzEu/lEzaG2qrktBhXewnW3fb9jPCFV9lRA2Kxs3TFkmJ
yferbScOiVgUg9KKPOYkeNhUTyOE0ey2UiX7JL9s9dE6AlE9WBTkZah7dZlsETnUAjSvFUT0mUo1
P4nMu2H4BPfdLfLTvAt5o7wGnoT1ipHxWempOEt6rOWnDHFvRzCkrO3T5NmaOO22sz9ok9/wtNk1
kE4oOYNMRxS62Rwiy9ClTce+AohsV8aCPX7k1UceADjI95NfajDCk11ZjJE7lbOfl/CSQW00k4K+
YvJ1S/Vy68JseePycVCu62w6L8Lvp91XQrUfNU9rV+LHU9H3BcZA9LqezDA5rc2GH5oJGrodgKSc
NtT8azJSJBS32ch3GRYbWKCLehEBxnWI3lla+wgkeT9bRaAMcVAv00YKx22Vhxum65tBUzbQr5HN
XhQhHGBH4cdW/NJTOV0tiCRsX7zEa8wMP6M0nkIitz7nvlxtxhS3Uea46oCS5moBfGhJXqHGZG8q
5Pag+NU+z7TRtIl2wJ0jVYHK02wOsTfYPONss8vR1L/EsIHTUgKqCPe18vNunzKHZXZJ9tJAhTDe
5LyI0u6osk1OEeddfFUwZDWm7Q/by5/Csh8/1G9ojx+Omn/7UNej6A8fam/N4N/XI9yS38oiu9BJ
31tLrAV9TVF+nnH5lPIDESp0BJW5DWYI1D9/Cdp7Gwd2CRymq1+fXer1SygHSbJH9Az0TqxAM1N3
jhFa+FF3kZMzYD4tGucxb4kt5O2AVT1DvdLNfSk9NNZ+CoMMMC3rknpHthFPvTTvEb4DS8npmZpw
58xdTbyL1P+eF2L94OiqUeVBhKZf9tbnoXDHML/JGag5T72gdJRNb7GOc7b84vN5o2f/80KwQVfV
IALlt99Q1Of00QpshJgkc0pxF1y5Df3T3kXNr65lvWk9YDujSMBW5ND+AzTwFsM02vIkwYIg90Y6
2qV5ZYXKPunGHV2y3QC1vmTuzwAX5YX2MNbwnw1tqxj7rMJFBKKXrBu4f6JcoIvN6a3dya6S5RvI
62tgwz3wbp/gDi+W0EjIxS4vq+uUwOKRqCEeXg7JX8h/C1j/SWBu9sRJePK6mve1W0dnY/eMSG8r
jPkChGhnj6eEp55M57p8SSpzoKlkjs2XbawwvDF8x/w64/hpgaFEPJi0p+kAtu5AqJC8wJ8J689D
oe0reTpOOWl9CksJinoGEDt1FZ/ZrLHNvm4jYgqkXUTs5vK1kC6irDtpObJ1lsddwRRl8sVwxqlB
rdZeouonCmddNkRyIT0R3sj5PiHw1xBMlS4rKL6aVW84rbsKHDtSQl3r0xC1m7G+l4y7dRsmYHKL
gjnWabU3MyCXZUf8GJPh69pCeZggE5RPx2nlun9R5GNGdKm5AAyVbuaU83D+ZbaLE7kIzNQ4mfsB
QeRXW/lCqCwU5EBqEm8sH/uMbj78VeUqLc4HsevlfSauBnYOEOp89fdRhu64+bYDFNW9YP7S2AYY
JxCYpNF06nGE4ZpmHuoekjclTrg9kMt5u2izb8a1Z/K06hRtwj7JosnvqonVE8quOXp6d2x0mbfO
WYQJfbNoe7EUN3YutnGEKJMcOV8fRvLE9N2ko3gjASwFx8yb17Ladb5lHtM5Tp/Vhuc+Vw6LElTk
1zjJjollRAhjGipba35G9uqnFDwazwkhwSS5al7fekZ0zGFjV3oc6NRmXK6MTY7n+j6FXOy0d5m1
nIwmh/FtqW27GBBLlQFrvVPCKBj+L3vn1Ry30aXhP7T9FVIj3M5gIjMpUpRuUIrIGWiEX78P5A2e
0XzkytdbLrtc5dCD1H3Oe96An7Zj33c9tJTZ2S9Hqgnsm4+JX1HILAkKZAgQdmLjDncr4+8kVDzg
YhowjdaTDt9mb6ul29x4dXW6SeKwqj7cm6O1CyXjf3mlXIrHiUF44h0krueDa+N8zZiQuCTiOVZF
+zgb8ikzn5VUNwxjVhYELr0ineoZWuYKqhGeZua6jTYgJj4BuFCoHlOuxBX3UaCv9f6h7r8NIw1x
Qz4mg0VLO6qJkoAkpcHZQpg8tl5ADZP4Rv6zH2zqERuqvfFYWM0mq4aDDinLqH6W2t7uHqtGYfML
OxCkjFnrgJgvRcXnha/xMs3SEnyWBKFnxiHy7in/BvfHDAfKjajrPOJYOSL1lxpaJ5Fhct6bVFy5
ucwbPQ5q8UHGH/vxg2ZqB0EegzdETykGeLNioFow3TXuAk1sHKiEfftNlDwvC69cC/5N5DNzO0ZB
+LSUlAMITO/hUc+I04oUWtZvRfuxSqu9Qa05pXfAxduu/6TF0bM1pv6Mmz6x0hvqO7Pdi+Cm9Tah
+4KH1GrGlT8OfxoVpaYEFIudNcQO1y1XFN0TBSneM6tS0lvk9nqATxgm9wQs+cRDrczpcaYcdfuP
jnETss226mOg2ytGiWtkd+vOmjeWbRBHPfqT8VoiNhObSvLNqx7081BAYMHGfmsa9/o+jXp/cTaO
XmpBlE/LHlumL96gNkOQrd1YbpZWAlfyOwevUht0x4SyWEMoklgNmMR3KGYSzBR9wURwxIRUC9q7
GmdRpplYiuYEiB1MQMYR0NC2+Yybz2EzbYFaDjyt1Ti89MmzXvwsqJUEbroS90BPsw4Bg9c4eWnh
T82l7idP2fgd+18gjH4/5hVL48hq77ppPkZQKyQINvT0B9E+1ul8gFa9KmCm2421thlNzwPwEFgo
0KBRTBCRxo1bPHE0IAdaZV32QRuuIia5c3ZQ7lUtvuhD8eundCVEaXGfAuw49CuAfhu74ZeWMOsk
RCL5bRhg9eh8thqZt7ytnbbGHHuDBHxVS7HlRdpi1E5IYLHuOYdSOltAqk0oIdQ6H+X0lBOs4GKO
O6flMXG/60QksOX1gX5FQ74L42gVyXwFreyrOx+Vtx+Id03lDfKAq6B7ZmDaw9hXzQ5rbaV9GnqO
ze66jrGJd4qDtO6E3OGNkA4PjSBcaR9quwpqSHdtjk9o3Otgj48zV3DtNJXPmHjtAY23tea34kc7
vhJnqFP7YPPgE+LOXnBVpXKV2Luh/jwX+FmxTp7d5k3yWWDWrWT9GT+cNZ4B6+Rlib1zwUqp7rft
+KGBGQeg7CteWg+uupYYjMO0dT/epZJs0gFeakXOaeXcCvrvbqi3M3hZo8rPbrxPiQIQY32FDxkm
5VuLHjbdhNr4QS8xSbtV6SflfNaN7FlvbKTIP3OTMnDeVknpT5G5ykbe03kbRcGKABBqQdiSn0fV
kCy9DWDt0xBF8cHsYVvjnQXjuwd9s3KCIySugGzgKTsRjqeE1/DA8DAmy8vxSURakSuzHnv4OLSu
wJuJ8kcEdYDmPOhuWwdLVid0eP3YsJnKapd35l7pz7NnPeD3vsG8mI8l3aWN2o4ucjhPYGkNO6rE
6Zn2Kqqexva67+uV46lVFlTXevbUcip3glyQIdp4zivN/a3pgpPUz8H4A6vi29bMD8IaGKFAsGzT
n1q8ZCBgHRwdCg/RGESw9JOALtd53qYAwZbZCNexuPHgSAXLyCLtfRnQzn8YmEzkeI0TkbQhPmCJ
vN+SPkTUmFwv1+9O9EcRTFqL7BatW5d1iFQZPlAJN7BcDrn0OIO7eqSd5RiTEcu0QWIsCsNHIbMe
i3XO/dHmYMMcYZUA2o/cXZMrlBDK6rm4MYwK7le0ITRmcWRdYVG8TiCqllCACm0f5cmx04hVqCY/
jWLCG6jkyitVcPiWayjsFCfDeorlOtfGW8G3jLMAKObPmplJa2T7qAjIiLsfvWMFDcGFyhpDD7HN
dW7Nu9ASvgPkkxpylzPscEmTmPP52qTjF0HyQ2lyrQgGTPNq15jV3mqzba6Rwb1UKWZ7l8Tjs1lp
GNDv9SknnlL5Vcbbo1U3ZFX5ZWDRtJeEvb6MQb7GD39jY0k3JyslYEol422WUnam+U3V3eUp5Ufe
bMalax2LL0ZS3zLEPBg45a/yqPPJMVjl/feWLVPZ2bFX+oFw4q1rDbSr+DLW9/OEu3yeEOY4HzwK
UQSYbkW8g51/N51oyxxkXROf1DWfGTtsjZHwYp4j4b1+4HA65Po6Nag+uUeuJPBNYAm/6bQrU5v9
Edg3FDGmYp9y96nvLDLzOP6KV95mK1gTbLuDjsiAPfJTAibTkMTX4HOLspjgvD2ZnLsSDu1QvpBz
si2g+mQlyXjPNAVG1TIhk1uLUN1YEfPwJcycXaFu8lm8hg0jOUu/qpPX0H3NU0rKQe2G6cYcoaN4
bXYHMRmnxPYwdzXOC8MOEE5a2VFROuVF/PirGf1/XPo9sdwi0P73uPSTiuf5R3MCTQPD/A80rf0L
8+rFDxXVF1Jdi67yv+fpHl09FhqGzSyd/Yp/8r8sFFdbxK8G6hmJhevf5ulA09hnwhpB/L+0o38k
lsNg4hQ50kDRGfYvdm4WXBmm+qcIgxm3IVEJBmQta45eU8tL1xpiVYKArQSlhlZr7drDTWWtoJeQ
hODUvj4I5z6vs+AQzbXGFulptIi4gHltVz1F5sj8ti8PXdDrd/lYelcp2T3XHvYWN+jdCKg0SAu5
KWJRwUO2rRvlNRspHeNQhZ5NEJBq1XGMZxc/7BBnJEHqL6CSPlxJU/S7PrDxXWuYq5JIN38aHUwI
RiXd9kCK0nQVKlNe6cn4hHItpgkW1c50aHT53w5kvrRh89qRJL1ZxIVbAOOHTGLG4o1F45PkgP23
yKOQDmk5jAna9FOrZ+DTkIy0aqJY7mrD7GkbUHo9JMQhw41D+4KOd+GokzVCYHN1dLpu2GUh09nc
cNQ3SKMkuJjWj6aNib8pyfwtiR1dG6mXHO0MBc4goOYyw1M3GD+po57VdHPY9jqHQRkgdUgzcPnS
zbBbj1kbvWrFJL5iu0cNV3nM/HLcFKUeT0dG1XAeHX0Un+ZGJ6iih8TZdXBuEHzU3qdQ79JjE08V
B60ZMldV2V61afZzDI1wn0KHHgNOxTbqp71i2HyIyiBw/IIWqWsQKLnEcDwPDbIVVArhTWjOzhVd
YM0+mLZqX0ZtS+cWZ/KK3EYg56qZDxlBoLdmrMXk6ublDkFh4k9lssRnmjlSwVkA6NcQylflVLWM
ReRPpMv2lWr6AWZqOT/MypIPjJXjlV3lJEn1prdza9HskKO0V2qmBOjN1D7aqcq2GYnue2cgZTTk
oT7DtBigVJOsgYuesauJJV6TLZT4EtMDvzaF/kG3tMzwrRqBCJ59gNJzsKpGh2g70l2JyMGNliOw
7VLn6+A4/FtI07l1DD+c0fmI+0y9hchQYhePwFNLaudohYN1U7QBsIC2FOJOnPtOAFchJR8XTsIM
mTivu33l0b3CxNrlSjHNYXz1wbIDRhCergsK1oCjws7cTdfbitCQxHotsz7aN51gPCNDo7gKvAK+
KjOCnvAHl8Agq03014hxLMb1Sn0LlQVOEpoG8OoAw5MRuX5AeYAMXSviCEigCfiL7DZD4cQbYzbL
jLxnRlPeRCECl8Lc9GXP3048S7WabEMneGaAR0th9ZlgV3oNLNq+FkYkP6gZJabQG6YScNf0Rl1l
RK4ChOn6zhRSvyOxKdi02MDsBoD9TVkhiityblGnbP2mrqm8CoIg9vboRRERUi3tXSvhzawqip+X
evCQIQWGhlZM9q8Cg61nQ1HfB4pCoC3zrTaO5b4QLUEVoqFN1dPXEqRtg741+Min2l8ntP4PeTS+
OIHn7HsJO8g2lrcRFq95N1rJYxYTjTJ1Y7yFKpfeBz2JkFbauTUYHgSOGuVzv/HKRKWgH3X6Yhvj
uCdNuof4rZwf9RjpV5NLo02uRGuuEwNiMAEqQ4QQSOuucwsccTOEAo1N3+VE24RDW/uj7RW3EQmB
BEjlkiiqtNmVVkDB2s9fOeinm6gq5++E6tCQWrk97aoK2eBoQcFoXUpmnZixH3pA3LrH/28n0qmD
aZ0PV0YKIyTT4Ytk6XMqLImUBUjCWUkUjsMRlqzy7uJyMue1qPv0Y82nfoviayHTiGJ+KEVx44aN
5ZtuaBw4ymg1DNJ2SZshzGUDGFWgdrOt6qBpYbGLgrSt/MSgFfU0RlC5OBpOOPjEqHarTrLdZbWC
uBArI9u4sXghi8S+mtM8+YAqGWf0wUVK1IiV05SG3xm8uinS3N1I+cgsMmx9BU/pYFpRfx0qbcGu
LGtnVJ3le6n6ZtYdJ1af5PQ8SPh0nRHmOPEGRaNMmcVgOC+zjCa8Seab2E7wXIpxCME6bYv/3jc7
bT5lbX6gJ3l1suzWIgveJmaAoDMoWVu7sAHODV0nii8cqz3K2C/kP083YirDa8ngDBk0TjcaDpib
3uxghYVjqO+rmZ2SydktBmLmqwj0cBNmVn4k8hQy/hhUH2ADTZ/xoXA3aEnINE8RDpAF3QK/zuUn
I6tfPTXdpoN3R9ggcg/VfO+autl2Bn6sbIwbdosBPxdnvJ1xQ8OlPFYHqExXnbPMYCz3wcx0PIXF
8LUYRPCxQ1Lim2kR+2ExzxzbHjSWgcDk2PV6NrOoB6xIOBsFotjHMDDCu4xJu9+r1H3IshjNZJ9e
9ySQ1cxelCxXvIRUu7GnPVXKSb/kGGkkoJ+hsyasKzgoonZ3bcycJld99nEKSG1qQPp2ro0GlLDT
AEG6U772ZNRafqIz4q0c4px00KSvWLlUEN+LmE6vQzElp1Z+L6PMuPOyXHtoqsgh05efeodUYgJ7
b4+Gm0zHwQkh8KlRJle0bdn9GATfIPllxybgELOJ1A3hDj8JPBp3A1qfbdh2NJRO5dBEMEnDPTj6
VNNieQsZRXxKRVgdChmMxUYr5MGpOV3Yl13+IpGCCE8DVpXjlTRG+y6dtGlYh5lePYSwd78wrbxX
uo0bOGXVvMRDtcUNjxh8oXOm4n5AhPTCPP9jW/JFjS5GSzFJwS4TJ9Jfe7yTyoaWhpmx+WwEomTI
oWS0Lig9nVVqaUvGMkXE0mnTkNOzv1YxCUtguw1umXVwYxtZdRs1iXpswnY86G1a+5Go5/WUu+Tr
lSbiYsMbxTd+I+QpXcNfhibWdW7DGtwmJHt2C1cHApjVwTBuDPDjPLieI9vcRZlYIE6DNFdw9Txa
94Qtbb0+2om2Kvalym/IoAcAdVApHpXllGuBdgPZxjQD4/ZWunE6YAHysNIAlK63PncMl9KV4dJ+
FQnACcaRzncSxUm1hjx5WwYVXkIh6NHY6M0HbAt6jhB9glKou+MaSUd9r2pRdSBBtkTcAOwPMdQ2
63VMmPVnBlcpAhFXB00Qubsr4zDETdYVT2k0snERpydW3WBXL0gYawhquBJek1oc/MjMutefIvKS
ybqvnEVTjJJvPcfO5yZG0Lgicc4ytkhgxLolJmon7cR9tsr2Z2OKn2WHYn7wAtd3c7tdRRz7wI5d
lX/xzKojZTNL6l2KL+htYzk9FUjuvpBuL8DDO00cCSzZ6W6UUZFE5ZNltUiRaBm2NdTWR6SwZH+6
xGZ1A9EkfddsNYLjXGotvBjLHJG3Jcm973jgd1LYHy1qyS2RVwTrhk60mccx+eHmUM2hrZuHfuIk
xa0p3WsoPjY8iXo/LsHCxYi1pco/1xZGAoSnpmsHSylKiPQaRtsR5wKwI8RRev7JKdJ45cTxtSXn
p7CxSZPthPqSdPI2Sbvmvs3S8ECd8tBY9Tazq1vSnX4YpYfFY/FYa96PIpsf0WB9M1NjoQY4MDJm
41pSLA3ucMgYrweYz2zI8oVnSx/uFAxp2xrOixXZhyZkAk6iH/ZlDsxQeCV+Omh+ZkUEJ2fz1zFh
zp2kw0SJ5nVJsg0iu32cxlqHSRuXQ3VI0JqIh9LppPMgUngDVLAPBtZBH7DnA2mKOgazhTGFD1gh
g2fCpFiXDvPIeTTzp2DB62YPQmiPQ/ORkNlwM5BdeufJaYIG6zWAq3Mc4BAw28Lm1AtDX4ZieBgg
G4IoZ5rwI8DZx7DnX1kyIBoIpdpQiX3rJfHerWa6hSjjdM01KzqIMBP3zA6Y0uG/Mt9amYp/aFYT
0nKV5TqWTXkL9K+YtsXy3jKI/HQq5PAFKcwam7Fp73qqnDEeyTRvmcRh5NDi84hFEqB4E21MCx3W
nKOUToeArKkgWdwneMAShg+zpt6sr5LOGKCRhONNDlwyDfGrXVrciLYYxaGYMiqI3N41QT8CiBFR
RIeV6PfVxOGaGO5jNnfwnfvXgnkuh0n/lMeztnH6Od/bZtCgMyBzOJTOscg7BhmmSWY0iakPUW1c
Z1ZNxGw/o8MJ64+aaEygc2SmvZG0fkFS8o1dk4VsDXWB0jPLd03ihAdpiGBXatg/TJTgd06MBDrS
R2Nb5zYy9AyYckqc+iHJeb1nYxiWmMGBymK8UTJ+cCSiWKsbxGGo5uwmgAuw0rTCA/SKoBFsu1jl
j3M3fu+TUt8P4HZIsQRJlBOmKVTcvSgWOb4zrIK2lSjZic92jIFPNgy9Rx3tEKOejPTTLlChtRkG
rf3QuB7qeDv3cDKJuYnXYWzxlzQOH+LAKMb1aBcV8jZvBqRlRxCzbkMJX7KDrOI1xMLnVkeaGvqK
iMhrWcRuS0CueEXXlGzyHK53G2TakXTR+TirmYYVA+bUrYr7GhcC2sgkvJ+HwNuww+WPUs4dEwFt
Xtc2gV15YY9QiPXZJxiY144U7Pp7VTExlZ3MGCeM7EOrcDGDKGPk6IMMzJexdnWUo3b6pOpJ88mG
l9sOiPUwOnN6EyfWB14Gip++m7TjLNo6h8lk5etyFLiA9EG8waSMSZBMeL5R3fYr+g+MPvIM2Usw
wryZOvepCStqQiNuF1BtIsFscDvwjqq66U1HW5vNNH1wZ4ltZD+Kr8EMu7slu/Kn3tnuK9ZkySHV
QP3/o5R5PXcek+5Y6mRYxmWLDixgeOgN+jp2tC+6mwxX/9E7yZwAdBB0b3pqr9VwZiaSG28r3CsS
hHBrx/ZCqoX4gbYzudVHfbr/f+zu/2J0hS/xW9jdLfmBmGOdYHe//pO/aKWm/i/iJFB+mkseDzIx
67+xO+tfiwM9ZpiGgVbMANr7H+zO4T8iQw5gDTGM4/z6j/6LViqdf2EQCOoHicRBKeP8Ea1UP+Wj
2NgO2Aa7MTbdWKHxxxl0J5uAtgasDjV5jqTVydx8XMOO7zZgENajo5G6vArnqLqrag1t6WSEMXbU
8DHioO0ZwI80QBOx4HAIALtrIiX3TqAF4TvMmcXd7n95VH/9TsfjD8vGJv83c9uwNbEHJS9pbYeO
wLA0da6xdkN+pg0m+Dzie7McweZqhfI9a+mT//ZMLxC5Lt0nHpSGzA5pE/SdU4gTcwVMbRJNrIs2
B4jrhdrXIFw7NoRbvmGx/wfLmQtJCNyWKz4j+zZyEjP+0QLyZ3k0SGhYJ6lG9HibDTsAgM3bq/2y
Bj6/u4gceaNAhCn0F4D3byy1fNaMdtBysU46/EbQNDEF8+zo4I2MP2toISiUJtl/mFVWfQwdD0yv
VZRF6LHfcVrnazh/ztgbShxiiWo0qM1Pf0ndGqqfSmw/TGUw0Q1GasrYat+5vRfeJpN3CIAUm/Ml
0O10Fb5Wuv/AiGDbENKczlF4L5LBO4ocp918mvstEPMEfjMjDVlU72/f7+Xpnd1u05WIMsA5SOxZ
SON/v90FELRrTn2ITMzQt6gYvG0x6O6qaCLLBwjVGB9F4p0vaKFvni/qWYhPvcWBk8s+XbTTYQZo
lF5+rWNEFHdY6hBKSLLIAHf57es7Czz89bWyRZGgY/6yWDwPPGuwLPf4EiNfnxvGldhY2S9WPdCr
A4VsDC8dry3Q+VU3lXBeh9SefJjL9jvf7IUrXswk8eR0Nc1BhHd6xXHr1SUtNAYjM2FMHcW3bzth
9rVHa/jeFS9vzNndXbIlHMeAeKAjfDxba/Qmp88gVJIwUR4q7FQ/NLbodkWcgo7nbf2apR2sH/Bk
42CCQB2spqK6ymTwpa91cTd2IVTjt5/DhU0LebLNDr/8JITHpz+qKQN6C2T0vvAQHLbCghwduRtQ
02RXeu34D+43KUbaYqwpF+PE0+Xm2iqyocJEbRwLN4E4XFXsz+hqUD3SG/z5tRHU5GEJbGqmbpwt
BgTfipH0YH8sWzoOa/SuvSwB2C9gXa4bE6bI2wvql14niSs3SLO9OKyfvU5oDUUuSZyDTRnpO8Rf
zs5p0VYRgbybG3EHzcPG7WrIDiE+0qvK1oy7luoVEyVVHxP6C6xvq2BTD9ant3/a5V+GKoRoQWZF
54d4MmGi5UKe8UutdLeUiR+b2gj8tg/Cdx7xco3nr7mzOPZLG14uXNbTRww2ps2OZBNxLfcOuWX+
tQuxnDKdsrv2Ct1+kE6XrjxHZH8Vn/+WnX7hEjH2xHKacSZP/fxbDoRtBQEhjT4Ra/VmHCHAlm1c
+rmp1J9vlHjR4MBuEg+Bx+hZSdSRRoDTTU1wyeJAJ1VeXtkRGCbKNG/z9oO7cNqRRWDyaZIHsZR0
p7dzCqSE68dVob4NbkxUyTdM+aPd26tcunfk7egkw3HriFM7XQWgOcpqietkEatwkSsQiUdMIgYd
bazp7yx2Yc/hs+TxcwcxRrDOjhlTdZMxxFQuQp/ltZcrTrSpwIMurjF98wNhde+8/ZdWpGYwiEjV
DXafs8tLizE3CpNtfqrLYOdUc+0TvvEzsk1sUFB3vrMPXFqOaToO5MsDQ/l1ejebUJtV7cjQb+ta
+B2+phv2oQ4CaeQ+46ISv3NDLz09RF8YIxOGjDrNOF0Pb/kuaEsrxCWfKjcNaL3tCU9InZnAO5d2
cSkXIb9GIchQ4+xOFrUZuMqyUVzUy2wlgMhHerV8CDic/vwj4x3RUZksNQJWGadX5cydLYbChNdv
GuiFg17sCb3KtlFomO/E5164qsVXYNHukaHJ5Z0uVcex5xSzlcFXrds7bHXto4rc4TohAuvPb6C7
HH5UdmwcuH+cLpXX+JvaESliBhoP+IwdVG2rbrCowqtwfOcWLr/7bC92lyAzixAH6CHO2Qloqh6G
dJ2mfiq1+sXqQMwgJr+3RS3/l99WMeHEkrZBhXP+usd13ONz1aQIwMucebCLm2vtQGOeXd2HtIyD
V6PPeK2N+VOEu+o7b/+Fr43ocU54Cgo2k3Mrd7AcnI6TIcUMMRp2IEMPIDT5h7ofu0MJ7PrOu3Km
1/lVuXq6qeG5SPeFfvnsgBvnIMvMJdg4zRuKCxvvIpyTcR31R9L4bjrMJvaiK5xNb8X1HQk/xRM+
YAwbC4waMCWozS+WHOJvb+/gFx41/B8NCN7Eu+K3008vDK8xc6RDM5KNbZaJ5llGaX779ioXDnde
I33Z1RzivLDQPmlLgokiqh913B6CyQXhFhppbPhgMaoFHrbxCHXsK3yjeO6jg/ri7dUvfKaexZlh
0xphnHNeWmCrPVVRhl8rln3Jj8IROEUOtX2M3eLj2ytduk5SQcizB0hwf9vmjN5RjB6CFKVjYx/p
S9IDtYC28TilN0Pd99eB7JIdRYC1f3vlC28z56+koQduwct/uQd/67P7liAZmXCN2JLEPzsp280w
mXiFK1m3ewbpfxZ19dfrLBE2gT6Rpc2xd7pgF83g1EOMTqFnYjgllVqRkWytItgd2zSp3YdAIXo0
IFs+/INLdeiyqUpBsOTZMUmzw3C85CZbCoA5LafhucVvb4JcsWPy5hzeXu7S2wNsYNPQ8A5hH392
oZOBjXsyIthUmAqPEIsgSugwZ6PO+Pn2UpceIvEnGqXGUuG4Z+dJVUDkKmYNCtpQ2Ie5KPQvRZfl
TGXh25h25n1+e73fP35QNoOtHqYfu5J7VlHFzdy0KhU5MmlMb6veKW9bNVvvfPy/38DTVc4+/jwf
0qLM4Aw3JAY/K3x3Vw0KkPsRD/bN2xf0+w1ki6Hc5UThQdEunz4rfFWmNsrmwq/AHp9sQ/ssmDTt
vcKRV1mhjHcO5d9PMJbDAJgKm8hA8zwXyxqkXqeQSiB1R0y/aVKh7RrMCLURSqKFRDtbyWHp3caw
DznOyMN95ydcvGI8AtDuA0WCBp9ecRXMSac5VeHb/cyAxCis6oMc2/4YkH+6y0hJEH+8mzIr1YBA
+VPT7PNjWxVWFOC3Xfiag6o0rWIdlVHkoe63wqu3H+elN4fF8DSDI0AY0XLxf9vUWqtqwHfqglAD
haVN13T9jcE9ZHASSO8dWeilj8GhuaCZYXejcTpdTErZuaE3FP4A1fQRmLxYMZaN3ysDlgdyWvUs
V7TUcexetpRnX0PaeNpgl23hx3VrgU3B6M9sZe9xTjf8xBy97YTd+6YyumnnRgHhL4ER/Hj7vv5+
THEKkPpIchxAJdXP6aVqThq5pcuwXZX4ipgDnVQxJeLgmLgxBNY4HXjpJ1+b8vfiLi+9ri6YCsUV
TYdund3kGn9CJ6jYC7rUnW5xB/qZSUPl2DphWT8zUty8faXLWXB+tz1oxcwiOPw17+zzSBBjW6HG
epozfx/0GdEdLj8FDjedg50r6tQ+6qK/kln+LaJw6fbyBoHYwdm0Od9Pby8eUh5mtjE+uhbewm1A
OZUmulpbuUxv+h7VUgpj60UXffjn+C98ILZzyUlFR3IOt0NA6mIjwI1LVH20xioXSldk2n43YQWf
FbJc23YyfXr7Jl8A+TmMddxD2FGxWTuH50ThIkzxJNba0HNSLGwF1rJxZpuf2SLCbhPixFQcRJLC
/sXsaMyhAjCjXc9qNL9W7WD8WZTfUpzwgwzdgzRLfcLc4fQJwPHAl0Qjnn7GT3ZVL7JQ2H4Ben/k
J//g4nF2kaTIg9/9JoKXVdhKaK14AeBa6FdJvtAdDDiEKypZDlQZq+tyiOaPhIZShdEwqodJhv2u
thLvnb35AjzOBI9ZEtfO9EE7Hz9MaZcDo2FxkjtRug66Of+kll+BJRpUjGAkbqBw84Mk7NAvPSPd
Njb+2m/fkQsb6dLhOGgK0JxRN53efL0LcOMV/AY9wwMjzJQJa6Dcv73IpSt1PSQGgDP8SV7j6Srs
lrkIUtr8kOJPu6kjOdxgu+zJVdmk3GfqZKb3kkK0ucYDKnoJsPcgfgzs4L38sQtlgAcvji2VG7/Y
/53+lDERU6BIifBnva2O/WC4+1SHulrgyLQWZmAey05lawvJ7/NohtM7282yZ57ucaT4uszWiHin
Hj9vb6bY0jGvw5F6nnBbMPIQ8N8UCxtGvBfp/vt2ylK0nnzqHMjMJE6vtM0wJ441jcOeJK/1YOvV
i6rSyQ/qEd1bl8mP1mhr2Tsv1IVnDZ6DdRchj7Ts/O3psh1md6PD0GVd6J2xbyHjIXyAnIhp0uDn
ccnWNtvGk/QWG1u3vNIXT7y337ffnjE3FgL2gswB+fCxn/4EDJXbrDPh4i25SVAIY9RUjhNDRx80
JfDlgpLxGJWQiAHqG/iXwK/Z4e3f8Nvd5zcwpmZ0SRtCQ3v2ng0CtYwxlsN6DmR4hEBd7hzcUnDX
Ec7D0Gfeypum4p0P7bcT+9eizGUth33UPp9NtHrbharC1sESJWYIdtTvgwqGeTvlH0UYqN3b1/g7
TLKs52Ffi/YIY9bzEn5EqGHakxowYsu9lxLG3bHxovYIRXnCBrCf951nD0cKBue+6ZPgIRGj3Pcd
3Ply1MzPddhN8p2H/9uBvuCJOv0105ll7HVWtbCdpKWpobnPSrEYSlYGdGs07FaTYZ3kpQPiilKu
DYXV7du347dve1nZosdd8BmK9bM3X5Kt6/UwBPCmxrOphlGNSYOZrCenqd/pJC5e5ALQUphR258j
CDkTYqslinRN+qe4jWEFrMo40fdNniA89DyxbYyaqAymve/UxBdXZsmln6fKX9gqfy/zUVUVwqu4
SFeS17NtIDfeFNh8fZ2MucTHxyUTXTjEh825Zr5T9V+6wcuzhaPAPJez5HRto626xi5Zm/oFVXIZ
m+a3Hsd/QmUQm7036bvwBS8HBH5rDjwE4MDT1cIiH4t2bNQapVK+mxXWENu4cpungRSpHfEq9YMz
9Yh2336LLi5LbULnwZgeuOJ0WU2khJ2PKQkiTj7vAnOw9xDwdAzFZ8LBsC5CVhY377y6F54q/jre
Mrte/HbOd8yqX+hqdqfWbYp0PyVR17cm3NNqGTQ+RVHw3XSGEAeRRG3fvtwLzxTnbBhQYBs0qef7
JCNyXUldw3K60IrDhKjszjWH7Ide6cY7r+6F3REsl/OQNNBlQnS+M0y12VHtKpy4WoIFVI+HbtsQ
vZP1JhorQpCf3762S4/SpXODwELOPJXP6aM0jNANyrZW68CJrE2IveohM4mMkBpu+TFWput+jIs/
7cPBUn6xHYDA2CHO92T2Y1fPWh5lUkbjNlBGcxyqNrwShhn9g2fHJFbHG13CXTsf8mncTpsPEfv6
us93cdJoN+7QEJ7k9sGnt2/lr3t1Ujgtl+XRi4PUMio9R6U78n04uqEaC+Qcd71IE6LSOFPQ1w86
TkmxCdawnSy9RwEovOCTF6r0MbM8WM4JcptbfahTd40m0SAaIRize1OQmbAuBi1yjh3sZA9/jsB6
9SjJbxL86j7XdIwjkjSmDKsJGPiPyWTgsRShfHEYuHNQnW1nOtomLVIeW2mfWNcofNpd6yl8GXWv
vSJa6r2pvX7hK6ffBP3C15Iv/Re14W8Qja1P4WzWlJwNbApEN2HnRD8AzdCeJ1kwhMe5G9JPDndy
3qsiz/OHpJ6ywQc8xR6jd4L43sUo1VtJo8ix2LPNbvo4ZuMY7ANZxdpq7mf1lCl9eKdqvvDlwiOh
SYEoiU+ceXanGMNmdhSIkUCSFII3aZvh96aXdQe52sNWwZ5jMmfefuN+64x4OrzXYPT0itTsy2/6
283S8U7E91of17KaEN143tfOKI13XutLi6C8BpE3Yd2BtZwukrdzrHct/PYuwuMsKiwbFnKRbt6+
lAv7EKgn/DaYDJCazolmc1W5sYYVBkZTat7zSNXBmjtEkVo47ee8JHGPUI13jpQLGzu0b9ocBvIL
ZeMM3k2s/+TsvHrcRtI1/IcOAeZwS1Lq3O04DjeEI1nFXMz89eeh92ZECS14FoPdBQY2VfkLb1j6
oFyJw3Klqt8oH2WIiGieRb+hpJ7z9yMERLfJzBsB0e+uiqOPa2fJlIi/aQQksnKxm7e9kWmflAVY
E8l2cP6wN640Ny6dJ4dF2xrKDlig3YMiu8lASsyZornWcctMK1e8lQui6uMwIVEWFE7+qNu5eCpA
819Z00vTC4oP+KJOePI/cft/bU/QesKoAi6PrSt4GNSipzf0POBMF3mjTVcelUv7lA3KUFlOUHS7
l6zS0QNrkmyOEHF2v7Dm5ubmh9fg68t4aVCbzB8evsB7AwQJTs7cGgStcujHR81YL0c3baBkz411
X4gURai//5bnkaXS46W2uW/Sz7zO+jIAcx6occVONhPudIauHmWuuv9wFvCn4wLbYh0v2N1fFboM
4BqD7eLVxE3C9ohQAbDvFwyor5yECytFOsalTfd2w17ujt0AH6htSLUj1EYwlWrs5CGvVHNlP1y4
kCkg+lxZWCdwArZf8a/dZ9lVb5UIf0UG3jQ4KjWGR/fQ6SGfjVnd3i8Fapqvr9d54dImckNewg1Q
/KMWvptESidoapU+TqJLI9AbzjT9l2lp9pOY0uV3L/HdQfuta0BZBHOpx5BXyhu91TpUprq6L/5+
/2zZrw2ekpuVwPJ0CrIyBWhVSa5uyihY3S0e2ADElifTy64M/cKxcMj0GLhuUBh3d2sqp9mU1DlG
LDpr98bpevcj8vtWnAZ5ceVTF640hyqdTWeTw05t9nRULmW3QQ32GAHht6Fclj97w5meNc+cX5wV
JS0feQUIz6n15vXlvTRG3luQ2K5DcXUf34meaUwsxug4S/acFo1FOCHQvkTA0lr+tstJXYZ8BuQ3
zTjUSnZv+wCF0BoWb0JfuIPHLmUQ6prlPALTlXevj+vCSeE4MiAIHgBY3N2n7NZxG300B7TLtOkZ
DqR5/IMe7djhsaWma7i0C2893/O2hhVUH5ghpwuYB2YXNAaulEY1jEck+H2koNqPrpFZiGwH812l
IzLx+hi3k7eLzbnWWDvCJYBce+Cpi65bV+CIHS2OnaP7T49wM5BEmTFdbWrrtTWWnwr+7Eawb+sP
kGXr5vD6b7iwf6i2AR3hpCB+Bx/m5EYagsSQgLLR9nfy8kdma/m7BQs1DKB7cS1wvzTHFL3ocdJb
RdR9N8eucnyRIm8IyXwx7wZrdg5YOI5P0kO2GYEechLQK1cu9kuT/O+P7jZSb0gDB1YSoMatRhTZ
vOWuWPH5kFmOlQjszQfNrX6WJL9RBVTg718wGqH0W+lcOzTLdveCmetOl21fh6Vv42ZhNEekozQ8
U6vuym66tJKwPuhKkDXztOxWUkEjpJbE7GJisdwaFXlXAQsl7qVrXPnUHwLNfue6W/K1AXHof+wu
8dpMKwV9EFG90e0Oq2rkAzbq8kEZWf619qxuDAPZtu/aAf1uOdwOTYkLa2krAYdh4yQTvBNBry5y
YjDzyLkH51s26Ncq2tvi7n8nTLCNcURcgATU6e72cVN1gXGPETVj7ac34+aB2p7evusaRELbXhjv
//o4wZbgymIhmJp9GAFmvOpzyXFCd1NEqV90TyU15SOU4vXTf/gU3KYNmkRLZq+8bE3U+9SoD1Eu
lfbOqnJwUDkqAiHmLdaVRPLC88bjAnJ/09Gitb+bR9oFbYmW+xBhS6sfkUnC8phz/gEtPg2z2KpB
XcPDU2fuxZX76UJcxpeJysgogU/u4Tvm0lHwdvASLSxXu03yCuVaCARXLonz7gugCGoKG9yDviqx
5ulGaRsyjdVmQ2vw8+9dlb/xvHY6TH6qHexUS95NYyDDWYfvlDaIEWpeFdz9h/VEoIxrmL4uFdTT
n4ALjt0xEbwGOqfWTn071nxSXHCDS/wfPrXV+NFEcz0W9PRTXao7mEEjLMFN799m0P8xF82NI7fK
X4MTtomlTQ+LiPATBuLpp3w9RQiJpmAU4ON1ECPloj4z05s0w9m4J3+GH1xfo9Kc8zL/fBVgNMRR
qk37JBo1DL3MKszoxyE1jyvsdrwKrPXZrw3zluaxhxJPjdZB7kvUBt0ax2y/TsbHBOGAo2XKCR2R
aaxiLx1Q1wHHgZ/vsiRXdt029t3ttAXmW8eJ/+Fgnc5Nq/xUIk3CqUJy7GUQiH0OeR3cwwuU75vC
D2KXTuPt62t/4T2ky0dCRQTHedqjRWxkoYBSsc3UMI938E3Ul1yuqBmsKw5MQ4kEq4kq9KNUakRb
fMAI9vUfcGnUnLINtY5x1BnWcJY9ZZ2MqMfSZnTwO39+UFCxoxSd/xipYCtaTa24kiFfuka2fWBC
cACJ7e8Ol+jNzqwpz6NhXftPSDvomKJOxc3rQ7vwBPv03KkWbTcJ9cnTBZ1ts5mShMvKbtvuYDRV
9aMtu1+JbPsrieSfCtd+7xhkG3Q8AOefwfIHvCFTiHlD1OA9HwbWpL00Vf/Zdfvq2cQujN6lbcYo
2qM9BtDyftQRzNVUaz9WeZl9+Q/j3jCCW6GM/ssu9KjHKRtzc3seHKTTrF77jnbNiDj2WF/pRVzY
PDxBjksjbQPL+bsjU3W5SWyOrUuOiF2KlsWAlgWqEjayqsH6IlRtYT9fXwOTXVjYDUVPDdCijsOX
Txd2lcEw1ms7oPW19F+NpPXD2endl7mcr7I/Lw0RyjqIVerNOkCD029lMoNba7Oy66DbxwZDto+Z
vVKYMCck38CTezFqDx3mfj2+gojYJv4R5ar2Dvx5dRPYNVY3fiWlfRjtIbgLBB2oONVqBM+cdv4P
Wx54HbS5DVtP5r6N5l8VjaYwFG7DQY9eBkXYIshEjL+XfHRHdY0bdWkRcJ7cqlx/mvS7Mzyj7zVo
bcPEtJDmxNwk37OhEQ+uV3tXttmF62LLcbeIgE2NMujpqJQQWpnyObomzFjQuVi1JL354fVjcyE6
BeqAzycRDgjzfY7bLlNhFwOW7b2O0HNYTWXwWACb/9LMvf8stVz9fv2Dl2ZwUz2AYUbQZJ9heRdH
TUuNumRe4A5g2/0HQ9OyWyE640qV5+LQqBDC58FtiyLL6QTaWdG07abunDgrwSHkNUTpE/wUCn2+
G2SVXXnVLlW5tuhwi4OpGNh75vuS2anptcwlHRbUSTI9+zS7dnBv2WOKNQHQmoO/FvpnTCKtx3xI
tGeN1/d2zFss5v5+lsHP0HeBXkQ6ts3Nv45E105qdBKjj/g/7UuB+lDcugishO4g5//yLbDZxOZw
MtCzOP0WoHmLlJZ5bkpkZSK0B5z7Dv0uK7S0fH73+sAu3UzUCKjZA1oB775LZmdNFdpK8ypCR2j9
IvIh/9wCSnlbw9nq48ld0ew36cJdeV0uHUbUNmlhUTaAgbm7fG0PE1MqJCiFz8lydPo8OWpDrR9f
H9yFuIiyHYBhQu+tO7B7uy0xeK5QfEUGPXKlk9RD6HwQkZcSFf7UyB+TvhCPU414eeKM1+owlz9P
Y4LsnTbjPvrX0llLktrlLihhRqNq1kB6W6yDtfb93er1633vILEUzLhVtJqdXDk/50sLqJNTQ6AO
yO5MyERNcyt7GzhBbqwo+o4onia9l8u4ngMqw2XiTVo4okh55Qo8v5HIdviHcjBRGXje0/1b+W5d
V1mGWhcCHRFzrb/pXPWiHI7q6+v7B5J5GjHRMORUkmCBJKTSd/qpRStmS3bUR8YqUc5hQsXijSFs
hMqyReVfdOWaN4npaV/nVVYvtDHNe8SdsoetBv65MUbtccSt9H2lJ/WVrXdp8mk9uGDyN+yBvzvE
YEgqC+VaBIRlAtunw+UjVKOHwJavd1kYVL4Tim69hvg633IcZkqrG9SOG2SPmOnRz/FshbxdEORl
G9arvwBS79zuC5hDdKqQWcD3cGzGrxkupykOdiuS7a+vyvk7wW9wt/r8xsE8a5ChFdd4sOHGKKux
QO4wE34Wad/8Y9K4/kCf5q9lPLYiJ38Oeh64Oyj4p5tg9bLaxHpkiKZNHi8XbR5naiVg7xr3ypG6
sLUZEfgOUF/stj1CZ/CCDrcm/u6C5zjC/jUFz+K7+FNV1wgyFz+FTzi8e3I7KvSno8IgsHJbm1KQ
HmTPte8PRlTi7f7gmoN2TTliv1k380zD3ADYuHVQaNx9K3HR/J56xPTNOdd/uJrRvHFrx1OhZjZQ
qvuyLx83O+0rufL+EaB9s6kJ2PSqNzryvj6/Wt6iI3XsxnahVR8bSlU3mVl1d69vxz8N2X9fEttn
QGZ6G3gBEeF9sywgn2irLEVcOimHT0Zna+8RE1IvtSiGIgyEY36wehRNo1bv/T7KkNZ7T8jWYU/S
dggJ15nei5uydWCAWp0brCGt7ro7qMFMf+h/ZshVOGXHoD96M+qEQugYo4AE8T+9NBCDQncvThdV
r5gB4f519DB9/JCrlgDRLjZGtGGORhrVel6vIYUxG93HAL3kcLRQQXieZTf81IUosXyc6qEDhVYb
32S2yg8IgeI4XHcyTx+mrpogHGdje2gzof/T+3g4h71RVzCSoe4EYWlNOQZirlOO98nk5e+tQk5G
aPAySlYZvskb9IrR7lshhnm3K5U1SnNZjhdJ5+V21C5zVxzKkVsjMkSR3i1tI2qSYgwTtAVbdByL
HUwpy7RP7ej/qqJxyiBRLtqbrf0GwUpcbsp2qh/ydW7zzdmBmRK6RB5Xt/AZi19f+f1FxMJvcpoE
xxszkZT69AiNiNZZhsAWo7Vq9LYTDfNIRyHnaiOsiXL6NcblH5DXbqdxgHzIUdt2O+ulQU5KwOQM
JrBuEve4knXhYZQz4wjpWI186VLTxNR7tbV3wdhrbQguC7VwJPZchF0tmzeiFTNNhQoru8+OM2Tf
rTVFgld3h2m6pfti/M4XujhHjLOLo9J82Kt6M5rvxs7Hxgb8j0ctvOsstG0nhfxnqRIUW5PNcTSR
NV39QmsDnJqb7A75dNT3fW+dESQPWgStLKPW/unGDtUzowwCKjdtr+55R2QVOeA7E3w9UoGPT425
3l8vVUB1Ha9B/pvi5S4MDRaj9hFxN+JyGtdDVtjpDV4A2tHUy/5W0MS/Uvz+A/3bLxXvxmb2QG0D
9YrTvWHk3kA8khpxmlje97JGBjZzsH8B0Ds9d0q4OI2nMj8g451+IDZO4SUUZXvwRdD8kyLwHHu5
oz7C05nmED8tPKsAi1B9QqO9/WwlvEoYhBPRTj5/ChWq6srm/oMrOB0BDcuNv0RZmWbB/i1KK89H
Yjqx8CRBWTLu0g4bs6rAbJwiIPYFXb8kbwpRju7BETrqMMm6Vv5BUCrqDqXdldisZihgxXjX5U6E
5mKGdXc9pDadyaxNwgqlxy50mnF4cFPbn8KxSVD1CCws0EoxI0Le+x3GTTDwCvfw+n7Yv37ApOh3
0V0jfARuuy/2up1dGaDUnbhh6E84iFeH3Bmq2zWv9CsTedYn4IkFk2VDxvGoYRJLnG4FjHo86qar
hra9ruF5lsOED1eQ8TJyuq7lZGrz9NPJrOZrC7jugXrZFKBHXuXXWhbn7zB0GN7gLS2CGbR/8+tx
xcLR0rDXaZH0STs0k9ZW2+5MSI90gtBT6BuU716f6z8P4OlOAtRNlkKJE0zFWaLQV2nelqhEH+xx
UQXZir3UR9k3GBknmsK8ErWJPHZKH+lbL8cidqTGr8I+d+zHoqVWFA0EJXks/Q757TUrvAWP0hrP
ayp7zovVVyglV/AFjBBB1jxBstgyFZ6OCUJceBSln8a24pbLsEh5sERaWKEP+XAT2jWoofv5iIJx
x6t1TylQfHIyrqEQ1X65HhAmdfXY9ARCsmmgaXo4o6b+DyIHVX1naxoGg5RF9A2LNohblIXs+TAV
iI2nqYEpRSlxoywbp3fQ6F9WMKcVTEt3CGYEAZphvZYRnr1I5KB4nLosMAEkfbfTrYb4QJoEKisO
ZjkGv0Tfytt2NcTDLLMEk0a7vnKMLn+PNhsYD98F6n36vZlnARhbWRxEhzW3p/xlDTEs0SiZ9/Yh
WwqnvbKZzg7uJqtGyZjUntoFYkCnX1xmM3UNZGsOlj2XHFd0waC2Lw+anU8fXt+3Z/UhsPDIQYI3
IvaHkryPH0uw3XVOHHIwpnl6pE9p3Qy2XGpkz4f+UxPQSI2F5syPskqa9zSQsGnrsynTQgAa1zQQ
znLR7deQ9vLqUyVCpPJsbd2kMVWD+YJZGv1dEZjLM5gdClXOmD82VGujWubrT8Tfqaw6qvtIOuMf
kP0RsbUY6WOtRHtTJe1VGtoW55ycb36ZiRoOWw68MzXC0zXRDCcB8O3kB2sWSX7T5bXx1jcWYj6x
9FilJPnSyLCdeB+iqRXJGjVGUX5dNSWSUGuC1Y2SJTHUwXQ0T0btOIo3egb/49Zz6hSzwQKjnYdi
8fCOeX2JL+wmlpeaHqgEUqF9apfM7SqtSeCrrC24KuOp+MAZ1t/pWlv/9TOAdhutKyRfuSEIF3dp
pNt3sIRn7IILs+s+guOpblEGKL8toEuffbtPv2bu6iJkOKzHsTP976Kq7SstrQvnlU41VRswAFvK
sjs9q2fP2ITjyCF5ccVx1u36w+CWEqX7Dov0TZX/Ggn0D8l5tzsY9Mad4poIOLenu0PqVptrQCfi
QmSNc9N35Wagqtstzq++KD9WVtm/pIgADXGBtUkUACtsowHRvQAD+BL0xRSMnhunQ1tjylos7XEZ
TF6pxhLeRwkOnsQBsykUNEqs0F/fIGe0O06dDXWYsNtxN6DeLnCsBeJq3DheXPd06XC+qkuccegK
YiifuJLGgmqQ/+Z9scfY7lHwQkDcGg0StNL90YEDKI8eirn4UgaTeY3R84fntptcgjOup61YAEBq
2+D/qhvbTboI1Ywesqr5mtxPSi1anDfJ9DIlkzBDiHv+G8euMI8Z9Ul7mAbfxqBktXJ1M0sfx8ts
0qgfLVnQPc5y7CSo0raEiNT5EhdVkJ9TJHrVPBdLJ7oIyRL1S5sNTMUaDf1fjF5WfPfQ3THGg465
XRGCiauGj1aq5jkehiz74OoZuCKe9G78MqVizp7wDyNJEOjyPCduMX0Yut78YZd+8TuApqGHiPjT
bO4b0xYhMCDLPBZ6UKxh1yDkT9zs+C+LEazvE3Ocf1UWP+zJSTPymtHTevbLKOnzlalo3bBROMRu
W0W9wQwo+bJKb3zXyTbboFvOeNtJl/R1TdLyi2g092duzd0vw6kS/YAWU+eF3joU34A7NIi+I0eo
RV5q9SJMVAkmqe/9BVNrTVrajQdm+3Mqcvudaw9D/rcJDKkw7x7cOIj7lNJ3C52m9Gaolmgx11j3
JBJLixytwoEj66ByIVT3H66rTWoPBA2Qe27G3cbvm1FWYik1TJQd9Z4eEB4yjUArfglARyh7JIxf
oBiQgnY/nN4bjpnR/m25kdPncmESW2w3B1HN6fYmmrGlBu0ypoxgH4umVKFCbujOnJHeNJbgJ+5E
2TujQ8cVbejsyhychct8fXtoUaHicaOnd/p1v8KxOTf9JFZTKSJp+HWcVMb6o3fqG5zzljtLE9OV
G/p/ilS7Iw3aGxI5otB0p/b3paM0lJI1Jj5LA6hlpo0rT40mR5vNsVoLUiZSq8HHgKyYxltDllgZ
4yChPoyyxF3bnxPPvVkqXXsAqYJJQV8TosWl68/2QV+F/QGABkX6fp3173Ve0LOo8DzvbvFP25zb
bMUdYGVSzyJVgu4ObS1zb5lcYdKYC8Q7vK7SLDJlUGkRvke00fG6wL8DHwQUaVozX3HiyYzug+FQ
cAqrYvZfsM3qPtatb//qUWJ42xdKvulykej4uMgAEz5apsZNg3zu26Ie8YfxtHX96XB7FoCUp/zZ
HrTs+1BYizwY+ZxZ8WBIIumpL+YaxW5pNsAjcXAwJp13zRe06CLiOh+DuFXDhNQL1hWQzJRNX5Xn
aFpo4ef1NcHaBidUnLYo2mT19B23HWwC50X570D/zVhQdRJfmN5thncrbnQtCgJ1+66G5h6EZtuJ
rw06EQYpaoND82C54smbJx9/EJlbOOQ2wnmpOwDk+Kvqq4rTGVh2OBXVQLFsGWaQ/LWm4XHfY3kG
TTKxkVsfrOLRrxXAk9zxtM8iEdnP1vHKPAJI4T7nQOc+O+M0TSQ0df9LH+fSRjAPWyuV6M5vI8c0
PUKZo3yz4HHysRnq4I2yh/Z9p3nTP0tglU1o93DQIvCsFU5twWT7WABpk4zKRks/LYaJ36zEFimP
OgfXurCg1EW5UtTqU6YptzuK3nCdqA9wc4gsUfkfJMYRebjKRnuynQFTPjRlAjPGugSD51IG+b3r
Lrp+i2a9fMk9Z8JBIquMO9vH/Dd08q1WmU5TOnx7/QE/j3gAoNGTQGKTyBTw0O4MCypbBjpX8TLi
LsHL6MIvrJHYybAK1oPpGnbtPKJExIcrwyAPoyi4Z/eWWW2LTit5kMvG5c6w1jcOz+3bzsBf72+H
hmggQQnlGSI5yoKnQyvHIndqkXM95cr/R/hF/uyjhRClirYI9bngyhN0PjSQcZQfN9UpcyttnX7P
GC2E0JwuiOsmcGFqq+q+StOCSMfVroVdWzC8uwR554gZYZ+iY7IHU5gi1fLakQD/EtxmcHIPnKdq
9vFpkYtx8ERvf1zttMtvqklMD0S13dspH9pr8qwXXgAgSkwuGH+wy3u9HKvG/MiWYxD75gyMs1PG
tB7MXMPBD30kzKONfqisQ9ku6Xhlti99GkypRQXRQl9vz2PClN0oYacncbbk5f1UusOxo/Z3N7dj
db+WS3ubafM17c8LmRwtVeoH1MdA5uzzIU11k1PPBVtqNq3pJqOHwMO3ylmGQevwGASNcl8wggsi
I+jFlbfv/KzSjNrGyg/gR+yx/hBuDFXntRanEEl+CNVDTmOCIx9vmSkamq758voJIv8432d0poAg
kXttyi27PW0i5SXytU3iGs9zcTQwxvyW5kM3hYNaFW6qwTL7setgCxsHs5+Ad83gVrwFLYG9NcAp
Cnf5UnsRVMT620rKhZmMq2vB0de3C7zSBG9gvqxpGRXoOYHvxtrjjZco+R3SCHmCokT6VFg8U1j4
9elnQbRfHyY7VWlYT7OnjnXQup+hfa4zpmozLx36gJtBJUHyU0mUjh/PWuefajAIQ8wNGFiRlvUS
f9qG7j3+R2X6MHpUZA4AbimzBiLp743WWsDC4U7HzQxw4XbRjHpGSWKiTico9/youiWRuCya01fA
gD79s6Too4nh9wwo471D66v+5nnj3B3pGhplrHWFo6CHDzxvc5pjAt42flfHbupPH9dsaV/o2+Mi
FAg/kej+rPmAQ7epfSiCvEnh5M4SQmmLUBK/LNO+8YL0ddhgxZSFHbh8O1RLvuJEpqP0TxMj63/V
0+i8U5YhfxPIijqc2jRN3wup9zKesqT57S8i8aICiZ4lLmpreu/2ItfQM2+wL4R0bINUyHJo52Wf
ZVYomxL3N+imKn1sJl1/i9BIM8RaMnS3EzVCShWUCkkHFdKGKFV43a9AGK0IdVRWPlW0TChfAvjD
Aoro4j5p4bOGILiBDIwrinVUM6ymhcndTj+4eSRWxHnRYdeXzc2d1RCzkFgtih4gkYbCsLO2f3Lr
DOwlu5qnG72uy+LFWjLQJPQQ0eBO+oa/pRSJsh/p/6zGnZHKzo36BEwgVsb1OoV2UOftQe9Tqq20
H30nqk3BmJ20Hb9OZVFWNx0mcAh0zYP3eRaaW4SF0ALefEJwTGttq3AiQ6/st6Ol1vnWnbT5u0hV
Mse+Zsw/dGw6f6QBpylsbC34TXCGzRcK+XV9g0SBJ26LBQD5vaDMowGe9uvf1go0gEJEKR+Bt4Cx
cNQW6asqGYsQ9ejly2h280ODgoN4yoQFQaLObPmp9yv7h7GilhfJVuMmEu5Mmw/nCTXcmqJ1+uPi
L/Yae9qwGKHVOGuKy9yoHVpHLVaMOavOuLoJW2banfXmfGWgTuCkydTFqshGB0fSqvrALwHjbYqs
KCJDwxXuztB7WzwoSeX82FCx+fuEA+6aQUuClB6Fjj0CbpGBKgofL3qBgDUwzd5Yyqihz5qGlo6B
VZfW2U2OV8uV5/bSLYg8AgmWTx0PfMfpy455vTP7y1aaIoKiW5d5uAOO9nxT91hJ4ADc0jFw57d6
iXElzl8U6l+/iC+EFqiioUu3lTiJMHY/wOt17Ma6nDMtnOreGWvjKU1WALpB9vX1L50/qyR1UGl5
U0knETo4HWrf9F3qzTh/4nW5JR5j1R4MWK0/NWdVN07jWMdxSZ0rj/n5+IhCDRjCNICgdu858zWk
WKAWnhdPfrLe8TQslA7m+u3q6/mVqTx/wvnUFjoBWQLVsW/bLbNV6O1Iwcpc9fopd9MZ8VOqPX1v
5S9oy6Pfgb/i8LmTxZXX9MIgoSXCWgNPqXsoLp9OrYSpaqBLwtS6k/EMdpx8ILMxwWRCr2TmF4rh
+G4QIaImSZBIde70W041pvpg9+iI9HjFfWkWocfD2KcLPeqi/+UhuipuROW5a6TIk2PCimQ68Lv7
LPLXRlOR1aQj/nYZ4k53eVapK3nHhcmg5ol7Bg1UUOB7DpJX19wjvpfEUy6nJ9PI19uq0PrYDvAv
/OstbSMCAHUMZTCek92WziTS2agTJ7Gn0BU0tQUVuBpzYcC02nPVm+OBf9FbV7b0+Z2B8PMGRAaL
RdywJ6IsyC6vi2YHMQpCaXpT+ib17GIpDfJpzYaa4Wv1He1eMK2m2etvPaWL5srIL00y6Q89JnZD
cBYw0iwojbnRkxj79vJ3RTHli74s4B4Q+zDe/vUs0wiHAwP5BhTBPjRWlP1sN6/9GDG7tjtmc9Au
Ic66rjwaNirYwsz0f5w+aa8ExRcuLMrL3FXIiXB3nGlfp47dzovpxyqQ9aF3dfm7JvWpqAKlrHE6
9TeiF+vfJ3u8Q6A7/7THN37z6QHDtVtzW/qnPJoonN54C9uWWKuqDx5B2RW0xIU7ixFSbCNktTaK
2enHKt3DbJiDcpAU1g/QBX2wJ4Aece9Zip/L0tt3ljN5dojtqnaNLXhhE6HegJwcVzOTvG+Ke/mY
GQAwskO6+On7auyGO6r7+hPShtecHS6sJWk67xwOEpv9326cuQ8Ze7FA6xjrUhuPlt1oh6RA5+dQ
UkiuDqWeewdbdtdIY+dD3FghAPip59Io2Es4t05V+I5Fm9boLO+3h0HUJ9335Z2RjM7t68fEZqlO
E/fTT+2GaE1tLyeTnqlIye2jopQa5R3AV1eOxfb37L9jI03BfFIVJ2w43TKUKQdTl0t+gBdQPQLe
7V6QaHEecb4H3AbI7Pj6uM7oy/DAgLsC6YG4asG13H1wINOSpsqLQzC2I0AWHGVxNW95aJqDt9rN
cyLU9L4NMoxifBx83+ZUDT/RXFM3CY2fNHQ0Q5PHipoRhnCWrJywxGowbpZC3jkGvuBXLkfzfLcB
t+B93MTtACY621L9qzdEyiNJ9rXskI1KVJhqpsXHbGqy/qWlzkZzNhlGEWFYFvSHicjy9+ChFgTh
q6xkOAZFld/gNOV91gHw9HFfSywezbb2vioUI7QbK++S92NpZV91s2vfzmCFZKjyqpywyyjHjyUS
015cwpIXm15Jib+3CBbc4c2eQsLrq3Nhg1PE3vTKjE2iZ2+7ZnilRS6UiYM9mwKp+dJ/nv38W5LY
5ofXv3Qh8gDIw6NDT5AHHm7X6axKtCxKT8vTg0XB+DiVnQHIefTf9NBCn6llr29qvZ3eDaRMz3YN
jCV38O0kv2uWyMuNClVS7JHDPvFo5rz+2y4suA30AxNTYFuUCbZZ+teCr81YBI0QLLihqhuVlRi5
N2sNLlyuL8gPr3fCWa8JNJzxZjkY4LA3iARIdODfu6/6YlzkjHd9bIwLZrkBdsdPQi/whGqqadbD
HPswbPDs3LCORb6Y3gcnTbufpj60wVMydnMRqWCihJIsE5bIwNm8zzAmRXlTDm56TSrrPGz5YxdI
wIJxGoAV83SOgGil6VBT4+g8qht2v5RFqKC44VsxJsK/dyw5huh5WN3Bxgf6mdww+PX6Ml24IgGV
UVeEZ7xRjXfnkifez30jBbO5ZuVRVdr4C+LiNar/hQsS00lQqajFopuxVxVolw5MwZpkhzpdizYs
JkM7rJgVx5439PBBUrL918d1fjQ2iBtWrZTSwOag13M6t+XSmHWrhHPQMRRNyZyb4gO69u0TCGn4
N3VmvMlAB91gO6PuAgpuKvRTR6dlnHtIfWap/tivIr8RBn2s13/b2bKbHFaDVEGnmblZK53+tFZi
xtIq14HQ1VE6Goj9P6/VotKD3lkt7tV4WGcRgUb6e9bsKYnxrAK/8vqPODuf/AigwlD3CKtg+u6y
3CXttbKsR/9QzxVaRmW53gGnBqzTa0lYjkt+n8rxmvXHH8G+k5eSdJB3gJOJkwmk393D1ZvppCFY
mxyGzoYZ0tn22h6JW6s1NK0xrw9B5UrrmBaJ9c7Mk+wXaMvuh5uV0/epw5Y4bCy//b3Ma8v1biH3
GArfp+C1Ygf/zaz1RgfbhulNOPfF9NubgMhz3xfKP6YyGd9Oo63eEsTic09NcsriqgTZHLnc0Te+
mGUZwrGZvzuurPUDmsrGm2LUCzTw9Sld70Zb4odrp4sTGrnrVNhpFkn2hkh5dO4LL7GuMTAurFFg
YTi8SZduIel+jWwUfBpLoRnqyQb3h1K99C52rUiPPpC/YeHDnXRtY5zdCNyg1J43RabNp2jPqkGv
wsFJr+kOrZF1tzVV4ynEUxxcyesb8M8O2+0FirKwHSHSE9zvxR2HyW2axlgZHWYUTwN9lwiV6PTG
lso+oNPRxhLZ29sgUxAKnGGOqOsZ/7z+Iy7NMAEw9X1OAJfg7pYAIma1PiSigzJ0QcFHLAfuAzQr
ls465K7d3gIpzq5RUM5SDE4eylDgX5lf7FJ3XzXACQHanDucAzvrrloho5S6Ju7QuiwOGfSFm0V1
31TV6VdowefD3XBlADboQgbnIlGZ1prVkBvdAfh38MWkmxTlA/K44RLIco2TzpSRMiROsa9P89n9
z4C3DcWFzH/OXOTUKkvPgfF/KA2VP88BopOjlet3Y18aD1Mph++vf+8cLbl9kPiD6YWWRgRyesUq
PD36chXdQQS5vsRKlk6clDJpN9CE/9tLYWGgeVZ6UW9YbRcVXr88t9NMd16YSr+mOXhOy9l+D/w4
CpsuKAt3W5h/RUO15mUzb0p30JalrkSsEmVhENiWmwu01GSBf6QCQdPDIgkOUyY3PHZV2ubmKZe0
EYov3YOu6rG491vLyg9wVLop9HgdXEJqt9Bg2aH0f6OKiW62qa3Zr7UAT3QP2Fu+TESKXzUbqD8h
tqlReyqU/v+cndeSnMi2hp+ICLy5hYKqtmqZllq6IWTxHhKSpz8fOjcqqqMrZu+J2DeaURaQuXKZ
3/i4frjZoVtU0uGiycz1fpjW/Cvc1ALF/MzBWtWNgQcW+iwdPzdVflQ5Zfa7dCrjT2wb48UwlmL0
rblLPyNgvbR4r69CYzygIbW+JGp3MzRADI9t0qUvMC6sx3WupDxojK9O3qpu4iUdeM0QSoYRHyxE
5pZfcU+PMJyB8h51ZhN1hkaAxtQvLzov+9R7Q3Z0yqzTgjqb0+YUZ4bsbsiOk0jLBjwODMqDZxy1
6f9DAlqNE6wCwEHCGDv9WIjJOTHQVV0QJJX8I72+70Kzy4DPvb0Jtz12Ht/g5FACEMDpDYLZOf/m
bcI0ac7aJuwVKU6AlpxANfP1ZNGtD99eit7A5WJ0+GjUU35uGne7i7VDDSa3Er0KC2rG8UUoZv21
dGtNY7iwYeWUWXF+UKLGcIOWbPlKdmToH+tBKSXi5qX6M7eGRYB3LBs1aFbR/9GwYVEOrqqs8g4J
qvG5oKHq3PQbNvG2VNRFv5/rGm6x0uctxiqrIz55Y99oh96WtnnI1VXlohyL+mNeqkYatB0IJX9Z
KEsPAkTeM7IE2H9vCHz3qW+BvIcLiovVIQbw0x861YCmMzmwd8Q0oJogVAhYgdekGHgx3AMAhciE
Zd3jR9x3Jwpe791SF92vMqvXBTT+hDh+CdzxvSal6qDKqidJMI8m8EPLm5SPDZFADZ0kbe6Zc0Ky
pwYYulunW6sxMEraS8HCvrNQlquab4UygjKbRruBR1Slkx1Ys+2cvAbpm6hYmEQTc6yEtDbVEGwE
ZWgGPfPW+SBLQCEHG1l3I4qnisttXTuH5jAeR6esshM9gPij/cqctKtezEQY1mEZVdrCtJPVG3yn
oEPKxcpbH6giYJhCSZVfpDOtHmLrmzyIcnS/zCOdKv5OGMGPcMQbIzBB4Uy+Yloyfi+TrtVAKBWO
FoBxGL+CvzcFMxwj+z3oRed+XIp4XI6pzAcbKM8cj3459SbcKuZg1m1rzLEXlAm/KOpT3JJQnxnn
8hNbeyje9WKc35eJo5UhJisAr8bcWxkSLq0Z4Tc4i4PUBmV+8LSk+Iy5SmYegSq01sFWsH535r42
A3LAYQ7U2ETgXy/ozvlaadM39ywlX32pyiE/DnEl0iBuZUzqyP+sI0ZdMj96bbHCrdOqqcBpxOz/
MHPM3QgaJjaVTWlZ37Ni8RY63xojzjhFSCmJnfXD0KnqSw+IYwhQWcgzcEde9mIpTZ4c8GcbPhXa
ArlIKyZ+1IAVKDGjcOQj8Jbkhw17IvG9Ka5owAwi+ZU4Aj1J/q+d/QYqleebtjY274ek7Mv3xmSv
OlY3Aiz12BfGIS9n+TJlk/Xp7VjwSiTYCC7QW4DFkGPr52HH6HpuAn2YQjqM84fZi9MbGde/XAh3
7+khXMMYvZLLbK28bUhIbs9le75cYnW1LFNjCutYR8GNKQe13KJ0Bf2HYkLyXu8i+J7lTQ1i7Ypo
6SvpDM0aD1Qk9nNMtLbf9s+tKvVxUdk3VYgLY0qjK12DDRdwqjsd5NG46C9lblyzh3jl/VIn04Xm
p5PO6LtFrY46RHRLEyouiuh601phAYIycmn3fE672Tq+/T1feUjWIw+HasF14u2+5zSZaC0mXCN1
nazH1jaoeWw5hWgBjDdOLGyae9U17M1rCRQ+GwbgFzoqm3Tx+atVEERWjZEOkTIqoxOS281/pNlB
UnOKWSmAx9XFrcTvBYi5Icby2XXSujuB+7JfhsKcrzHEX3vrVAouxRQQXIr6898zqJVdS/QtQkfx
0s/dOoD4AP17GNEVCPtmuXaKXrm8txYSPHGGl4zMdtu6GESt5A4WOnrb5B+6DkAE4BvvHsTNNYfv
y24uk7ltzM6wgbQb6vb5s2Vt6szGlM8h5atxApVQ3rT8u6h0oEgkrGoMyy5TonHMNeYRSXkwSg0A
5YAAORUp8tVNbcuos/UZ4w5cHw+27KtI1UfLPby9F1+p2awN+QyqCPU1tuNuW0wI5lvWZIowxWrp
Mzy65B0cPfnJbLPV8ZU5mb92UMjDFFXdj2hOjSekasYrJ+KSxcEL4z39hUEzA9tvBij8nl07mQCZ
VBbF0RztpPpUJcASwhKM53DoCtl9TLVhsg/Yz+Ltq7VF9TwZq/Yl4drcSNJV+zgD2P6Z419wu+bm
7ID0L2lONXMjvoCIjj+asbZeCc6vHGYg7FQCQNlpAO0bYU2WZLU9rGPYeItzN4FkDUeRiTu1rdsw
B9N/u65FdSU73MrJXSJKa5hqiDrbYqi0OztKAjzSHRlmOW6O+6hV95+bNjGutty2M3GxDk3+TTd0
U6LZbQ5wEzluZBu0q5kMGeWLW3/tBz15dIfZBGeLz+AJa/kxKlOzw66IBP0+1uL6f3jHTIPBMREz
8fDZjvY/t4JXUeJabjuFnQe0wZxV7a5f0/5AhzK/Ryj/l8bNfSXXvwxPFHeM12lt0T2hu3e+JiAN
z0O7egqzOsfsZUrljwy6shtQ7SHAmMbGNf287W88f9nUtYRdaMN0EcEqnq+YI7Q+YSPINb9kpYZr
T2ce03RtEPfRaEppqQvibS10IHrNaGV0xMxUe+zoNH9Tikn7/Z8DAwQNSm5uxI3FvA8MdBGquMMR
LHSTNIVGRogw5rE6KbMLQGtAJqCuVZSSC3Uj13oZ5CUz+fr2j7jkucM0JRXZzGgZr+GkdP5OPE/0
g1SsOZw0Y9DCdgXgj9de7d2hSY0B2Nor/BAXnrNC6dz377tVIhnTSNd87ySWLn0dH7XYV/u+/xrb
S1eGudYqy2Ghb/FVKjHEeFsU/U2RTeV8ElgFF9S6qX5NxuNyjkGMZayHh902GLjwtRA0IrJEIOAK
4ahiyr8Op8plOEd+ZfDupLYQYvv8pqBrGTZKphlgF8Hi+/Cl6HWqyGlgMtrcOOgE32ap2oaqMNrT
2+97O8+7LQjWYZtAbmHlwjC+HRf0PKppCS1yd0Y8JST5Gpm+DtjsB5gCy5OoJ/WmAv8Y6iLvr5zz
V5enNajqDv07ba+OT58sX4CEydBOxbj4Ijfw/JMOdjX3lYMHXDD0jLbBuJbW7NfmAhoU+GmsXElC
/w5b968B2Du1N+nCpp5/vutWyy03XXsRcgu17sNQr3l6n2nTpL0DjQoNKWE69hTTzP3aKmmqPFr6
LBoyl8q79eqxLk64xRlIMjTzJP3CdBGFKLUVAZZOdkvmC42q1veU2uuDhRGrfmPEABBgH6YGoolK
pnyvjZyWdq12ZKRLbVbAbeOGxrY2K5Cuq8I1/VKkfIVlAuUreyu9Qzx0srBIhGV+yJMuOemrM8RR
PSO5EThekt/0ZZ3TnE3V2PObIl2HWzHaw3d3XNrPfSzMD4mdFsXzHJvFTUd50Pm2JC129dJsjxLJ
9ntH2LUX0NdWrwDnLrMz8DXwkVRKD0AS+4xJYDFjlwKt38mW2X1tUrqVzcAm15s6enuT/62Xdp+X
TJhByQbq4VLZbtd/rpPZWz1VqBtgy9M7M/VVjVL00ALZmvw4N/U+TOluVI+aknQU4Ak6O5Ael9X5
qQ19p94gVTukn9iKjCze/mmvXDrMDCFmkTbSut63kYEnTt0w6GM4rZny1Urj+gArofsxi+ELQjHr
4e3lXslT0X93N2c8lab1hfy96GJ1Guutx5QYcJJ9+JNs2HhWHWTWElFOkVOqjXEbj2NbHTzug/4g
qqbUomUeRBV6UESwtxMCJGwz21DT29WAKlb0g3gS8RI/CRDf5pWffblX8AaCQsDJBM5AtDr/fo6X
zTZ8zYIxQ8y8KB+xR5j6eb5rhzS2//tiLEVQ0kFluCQg54sN3C2biD0yQVrn3Hor5uuuUzV3CWO1
K0u9kotzyZEEbwGQtt/eyMbrqdxgYq1hY6XiftW09otCFzoySwx0/JFlTzNpZsSlmcB4zdJnwJLu
lT14mdDSrAcstY3cqZTc7c//OR1O7OlMxr01tMiufwIicT4tXoOMR5+2TqiAzhWAv63GuXL3/D3i
Z8fSoNMJ1AYUHHRuGBPnC6eoHYm4QxWjX2CW3U6Jqj72w1oUD1a1qG2U9kObH1PaMV/zVBhfa1Hn
nyy814ojGtnubwa86VNbkMpFVsFgmDsePKafT223+GWfDZMvHCmBq8cEcgV6N8RkNItjpEDk2Ppy
raw4mBoTdLodT9ZPUxndl6aXyXRoQd6tt1mlLh96rHiXAFX0FnwOv+y3Tede+EssJuHTnEyKm2Fw
0ucrR/UiFWfLAz/Z6mVIFvZ+3gDpaoEg5yKhm1K0Ik+tb9pTba/dDXmaxSEmPvVJdaGBabPZ3ubZ
pKZ3JoCcl7d/yMX24CvxgRjDQwh3ENo9/0ogMNPNAmkNt7ZggeJO1d7046A1YTFPmuOPs5JErlDQ
NXl74a2m2W8P8OGbpQ1vgnOwW7i2Yip3Uw0XfU7r2yXWe641mDOA+iereG5TO09QBnG1GYj5Iq88
90XQ4bmBuIHMZH6Lf8b25/8ciyKBlp4WA4VnWXLhutYCKTHXotWlE/afn5QGGGedwwDP74Kii22G
DmR4DROXDqSPGqAs/cRe5hAfO/temlQl0oPF4qVxcnx77b9g/N1rBnaLjB6aTPSK9jOOLMNUpk1a
LUQ5CWIp5JCG5rxXdvdNrNXuYWF8jM+9G1snjGIqJTDnmuYtAjh5euKisWgkV6q63Ig4gTqnSvyD
afDr+CUvZix8tObMjwo/3z1IJOBG1G/yOKocrVEPo9roMnSbWW+DdWzad6surW9ZnULUL7Qu+dPG
AgPsjvcC/qOvhmuH7JWPvBmYoky1vX8akOcf2Zq11phiSws9d5rbW1XRtF+L4aT945QmTDaQxGqS
KLac9YeovRVpJ4jzc+CpztKGfSedYzXgerJRytbTQn4aB31d0tl6+yO9cgY36CyK9RRHWGnualOI
8nUsjW1YMKSIBaA+sG4aOa67PNCctedjAoUu9V19jbMrp/AyeeLYo88JRJn8ybT3puDz4tRE6VFH
taZWVlxMMvdZiFH+mbSJuFhk9MBdk+Y9ECHnkWbu0AaWsIuvJiyoALpvduW0XN6a/CKAmjSsUUhk
x+4Cg2skTe6q7FiDYeKHphbyZuWm0A94enknCsfmdiRjOKx1W7z3xKof1oEs78o3uYQnAXyF3bJZ
6lE14CR2vnc0WLK8DKmGBSBf5bZVkV0MgFCJ9sAkPf7ZOqiQBKYFVF/UvVWc0hEEqq9CPGx8JU7H
J0IaihBGB3c86JkPm1d+4kV2aVDbGWQYBuQG56Kxr0925laNY4YaYu+IcsoE16xc+zB1a/1clm35
4+1t+sp6SCyi5EqvikCy7zhDwJ9AdQojdDszrnFTGOK7XFHwJU1EKn2nprt15REvLwm0YGhYbd8B
0eB96JwbK0uTpTDDftLiYBi8rMB1rEDezpCQNfJcMozM4zVy4TSs/7VlRMDkqwAE2ep7ez9H6Iqp
tVByNcN2gio5QoL/PlBDl2QWJVLCS6avxpXNfxmwIMLTVGBi4sBB33NaxerNhtklVrgw9LqFkzTV
h6bslbvezvD0/s/fkxantSlDbrCHv2zXf6/ARmcwv1Qs5k70pQdMo0RZJg8yq34BCGmvwPb328fh
ZW79Ny5BNMJBfpwfKM9JFm3KuiTKLQPFSXQgb2GEyOGgzbF1m4Jqu7Z79nH174pI1yHZt13xe+cx
fKOJnpaqhIRs+x52/IgSQde8V1F8gZauN8HgTtcgo3TaeZB/r9xtWZsBP4MZpBwBnJ8/qNDr2Fny
xA1Rz9QfyWK9NiqXbnnRJkBwfuuNxi9TjRW0q9qG5gwKf9qtxxh49HGO33xKqKuf0PuAyIf5lYGR
yNgUmwlF+n7gP6CMrw2rDeQgkw9datQfbfAByHKqxfRrRgNxjuIm2SikdTp8HzN1+lItI8q5qrXa
jk/snJIAiQ21BMKYQQhp6EI+rm7T/V6r0ql9LGmcCBnyUr0d8mW61evOQaRCZOm3NANQwPC0FdJX
h8ZpA0/O9OgbpSd1cIck912lXQWAEAsGhqsM4nsCoL/fBuaJOGzZBn8VsPff7JIpDqqV5DrIGkbv
soF0FqTm2Pwu0h7USk4UxfIplkseFmnOg/e9EpsHcErKEzrlRRrG0snvpSWSNZizerzxVL51mBem
h+6SYuQ/KRDQyqjZaLG/eHb/HJP1NWHc6YiVapbUJp/xNn27eTKKB0XNoHbA+00h8ZbYMKKKXYEm
HLQ+0VH0UYb1EfWffA0mvRNUCaah9H5Cq/K+58/ex1WCkqynCyUJlrresr0q6yQFVme8X2fACZFo
WvHbHlySsSU3h5eGeezvEeHzHBL57IJnG5PmRa96pO6NWXZ3sCrj8gBWZUbFJdfSPxQVWn3IF7vF
+nlaPAmkPEZMTlbm2qJMEqOGlAMk+OJMqpac8lrNT8iOz2hjaqDYfLKMFgRpr27ScybaroHVNGMd
cMsv0mc+m94yGUkMVmNk6CProlifETA3AHsIZjNwfZcaqeLEY7aIE9mY3BiTZicobym9A8xJLE6A
1q78taoxvPQZPrvp11VWPkxAtZEQm9Y/eRxbv1xAImUAhYKWG4T65UBkFOk9XdziW24VnFytmm2J
Z1Ga2b6ORsZPXH0zNZS6cO67xst/8OLgHVtKRlx+OzxetHgR8aNr6jJJhg/BJbRrFUzbACOfvSqC
rL8AlJH2AI41FVQrmdBbnCkhNDMTtOz2D1JtS8pVJKufED4S52AOc/WUdRmsX9k27qltN2hq6ror
kiKi1pUrv/Yy1oFZoxbeiinq/f0Q2iqGKjPito0YAGpBgwlplAEJ/T6V2ReRmi88pPrp7Rf0l9V1
HugI4+g9oYhAz4kC5zzQNS5yBVPbt5FqT2jCGE3cnJaiU5uwzQeK9D7V7DrQZQ1wyFRqAQ5NqRZ5
qPVxsIJB6l3voxFcfgJrUqM+No92/M7uhH2c44Xw6DLZBQ/olO5zBka4OtiL1rXUGTYTRBco2lMG
Qnx8MKS3MsdYmv4wIH6yfpia1Mje6akhYfiYuIkuaQbFplIwTmJPFsifmMnvZEqsLxbQnAw6nrfI
20Iv2+8r4yhkV5ORDr3jjjR2VZEyv3HzpH7MlGX8Ua0iUSIaCzT61VwbPwEEN8tjzSv+YJdbv8LT
imq4iYfa+cJlP4tbC4ATmhSMX79Os6CD5uRz9uCZoBo5jlX9p09TlUYyMs4o4GJ3dxi6uqFvCNPn
WAEcUsCHrSldPKecmqDsAPcEnGLx0i7agg+8UUz9jdbbUwoevkTSIem88nlcUcg4zoDIOn/UYqx3
r+yAi5vOZoyn0pSCQ7zpbp1vAEuasp6Z1G6TQjVaNaSCmoGRuDXqRdCjrXQsF7P/jzkS1yuvYZuV
buNloAbni5oDtDQdLcBINZr26A5MFlypSMgA6vL17efbNvD5Bkejkg4uE0MyF1Rwz5fqk6QoE4xe
oqLrFQY2piXuldburpjeXp5dk7HkZj6CYM52eM+XcRkWrXY5JpEBikELlaSI34F4cLrALsHOCNll
73rNvgYheSVPgcJPDUHRCdx/X3aiX6Mwu8nSaBS4eanJqp1QmTIeacQMj3qcWtci6gXIlk+HtD4G
JEBsmUPuOWaO0ck6MY0YeKvuDD+mdRm/0n1r+9DLlNy7c7skPVVGjR5fj+jDC5o50MJVDcWOYOzi
uPzsYJRkBRXDm8eihlp6stA76QKksDzroCeD0gbDqGnPmlfpYzAwT/yZAbhoorpdgD1JIAiIV2UQ
9/04Q/3Xl3Vh3CkcDeGjXy3f0R42e9+LdaOOXGmp92nRik0WpTRHX4GrpYB7rOqI3H/N/aqKRQOG
EQQb16+KpYWRl8bzpOhUzFDLpy92IReUyjvFUQ7MElsGhqoYR8aASaGHJfLqXZDLtv04WXKdjgtS
YWsE7V5DM0e22o+2cfoURSO8q/n3cgeIYWxkwwFFTKzE87x2SAUSNFv6Aiwb5hopWuFto9ePsZYs
4qASRtDvqDGjCBl9zPLIhen96j0mI/5qMQUJVtyqf0q1rB/K1lOn09tn6IJYyDX6VyaCm5ReDKXq
+e52OmuJNVUU0WqkuhUQMTAKcG0FXX4LWZLSKvWgRw4/mtJGuxnWSQm8qYjnoGxc5GDtflZXXmA2
/q5rQ8ItbmfE6Ok7VGMmPxqx6dx5bi9pRalNdljkilkdLtgBalN10Nvm8ogEJPa/iM/D1mmm6O3n
+4sIOQ8S3ILMFADWMPKiTjx/vr5aDXfEuzMych1RwSLRDSoM1Rz82O4AT4qlc1DKEeWJeGnovrbY
1nMDBLY+6qm9GEEH6P/bWGLycC+MXq8el+1KALVFmk9FJhrrAU5o0QdsPHIdQyJr7OtFBXWS7yVI
p9W4bt55IhkfsEeQ88FtjVxiZoQmO+dacX6P+Co9VV5v/zLsCm3Kt1/BZSBBVXTzoWKKw2xl30Na
oHU6tSmLyFqa+lauSLvlCR3kGjuaI3295MoNcBmWWW9juMNYgCSxb+uJueyFaLsi0qs01VA10urh
wSvL9fj2c+2rcXYuYZEWNYvRAdrrVVtaMqNRb+WRQD0JD+m+QVm0H97JXv+vfqksxXTa2BAjTIog
i55vIqCttOespYwGQJxHxBVBvA+2+0QfRrlCMbloCW9rocBAI4eePwPx3XUT6wmkVDfLotjE3e6u
nuz0NmH67z3OYmHuYhNTKSxG8PZuPtlUcWXWonKkWhJ+5mrnJ487sHyMc3eFCGmNxhN29xNReAIK
d2Cn9OntOHY9KgSKltyYtrD+CN2bIPBpExpA9HGmz51lbsTWamWyIxlIj4FqDf2zbAbDhuRF4/M+
HuyrrhiXe9Xm4PwdyoLWZAB4/qI7pQFv245VhLr+Ugdi9ibvY+woyp1S9lTgiitm60qa9LfiPw8R
G1gEvC+TQNAie8BTVpWaOsxzHeG453n+MFr6ccgH666aFPUWarR1qrKm9pEVm36bSiJl0LtZjw9x
bZ08dNx8C1XPh75e9QnF3U053Kvwr4ITNW2GaEZyJWhfZiQQXpFQJb1zSA32OVaK+Ye9CreM+HbO
cR4NJKPG+tB2FiNhp6/uRicdrwTSy9PmIQ6xmUdo2z/7CiZu3aIixe0jeBh97iNXaD3XTgkirGUU
9vbJ3u6c8w8CoRLSEUgwl6C9Fyc04QwiGzQ00bq2XkhGGXpNGUHat8i2Ku+xSVQZQMVQrySUF8/I
HJgnw1LB0sit9pIO0iZqtcvcRb10n+kv5HT1zcKMpDC6D28/4sVGZ6nN78zBhAoLrr0ioOIu0MQW
3OBRUit+G9VgHmkmVT+Y/dOdcZL1Gt5tP9EE1oWsHHMmHbUKTN5296BJSHb7ASfyEfXPj2lcDRsU
GUJgO3TzsbK0TW0nHflzLoxbRo51hHiaeyW6XYwP+BkWKTQOGgDNKOB3w5SqFC3KBGkfpXmm/Mw1
4QZgLuxQWhC86JHN5p3Z5IoBg9At/UkFDiXdur1y5C/fPpM+zg3QP5cpwh7oJhn2qKu1TpFaavJh
6r31wMtzb7QymVV+BeLMVy7hiy3NdqYo2JQbuBHZ3OeBTROwYmJ8NqMY26ZTqdPYhCyTH6tkWR8s
r8JfZULbmhHdNefjy02NahGDVKA+9ABAH5+vLCbD7FeUsqLMngoNhpw+3TYWxTUJUB5fecyLyMRj
bvrwnB2+NG3d88U4s4qEPzxE7mAY34EXaKdhUJtDZ+rzwYORebNAjb6y6KtPCJATqTsANmR654v2
wmBEjjdW5NLAOag6bPyu9fRT2RbjldzmtaW4nTxmJbQXwemeL1UXaD8mujdEhpra/jSJ70jviS/m
4CRP/zVA0KF2UN9CZpLkba+JAg2lrNpZJ4lMFedWzsv4Ht77D9yB3RGUHo2Pt9e73KBgk7ZLkIhr
oFK6SzvgBytwOEegDcpc/nTiIg0cnIVt37UY/fr6Uhk9zLQeHXlpuR/fXvzyPELkhfimkvRsunW7
/CrNB28EcUiKqpXuMeXYf0aPvrpViBRPUCL/h+U49bhsehvwa499oRDCZkurymgdVvPBXAfpLx2z
Kytxiq8z2gLh2493eSpoB/AZAcH9TVl3u2bL6ETa2jzeAM/GnuzlVq2n+NBNU+trg6bc1YtxDUq1
fbCzSxRhPAqfDTwCEABq0flWrcg+FmCH3JuTtKOkWipfzgqk2b5rA7pxFnUcI9LBbMp7uxXJlWe+
PCksz2ZiOripyO391FpHem5rDiXoIL14p7QumiBssIPHEOVKNH/t9SJaQpFnU6MDrTt/0qR39Jm+
XRnNiyawN6f+issKPdW0cn+gljQDpLwqoHwxmgfABxiA9It5K/PwPXILEI6zKqtVRnYyN++TTTP7
uFZMQQBD6TfWauCngGgpAwwUxR6yMp/8tvKsHy42R8GKVvn3tzfZ5QEGy0azdxOPg0Ng7OI8cK6k
npD/jLxKbZ5qCfl0MigJNLNCjMod0tAZDOXgNb37nz81Lx6tSw3OAlvc223vVKlrV2IFEqltUXwW
Ax1dS2+mmyxzrzkGXfCqECTjIwMKYpb/d1+df2trxKOPgtLBcsrxThYCPo/MjtanTaj7VArL6P28
mdxozg1IIlYMzanQys9lrV6Dr1zELH4Je8DbJFJIavY3OvI/TltZwgEtDhan0ZdPTLmz93JI8K+q
TOuKRtbF5/UgsG28RCAo5It73EWZ18acGPaCR9zSfQChcS+FZr4Uc1GdUCWIn8xm6n9Mjq6c3t5X
l88JvpgWik49xpR2777My8YnKV/VqJsaC/gbhZCJnPM7p0i+F7V+DSX72nIaCAZSFsIXR+z8A2fI
vepN3mrRiIqc38A6PmLPwVhqZsgjplb5+fbjXWakdDMhEHMTIIcOBmsXJzOvVqWtrFqk0oB5Mr05
fzcldnZsUvJhX5ai82PPpk7Oi+pFptUSDKqJWt/bP+OCe7HZQJlgGcBvbAXIPlwnrWJV+DKq0YDX
YP08oABtP6ptrr1ACwGC5s1WOh+ouEYTIebajXBmku09g8CRPLk01s+6w6EPu9jQVl/p1NkKcI3p
AFxLCDf+UHeYS9eI81boPsdYTdUJVC2cFnK0399+mMu9SoMY+AMMwG0EtdfLRANmLK1h1qIGfLkE
teQ4zxKI17tCseOToZR5mCGsdSjt5RoqZMsU/r31cBaBdU6OzTgAbMqedziCGJhwq1qDYjb0IGlc
+zZvRXMFLLG/cbZVNvE4vhgopIuPhfGTbvapuga1pq8/cyf7Vi92+ThmnvJAs5lhbdpf0/65uHD+
f1GmnXCh4Oru9etn14SCIMw1SMjjO+YQoHKb2O0Oi5non7QexbSyhQEZAArLPjYjWOXVk/WjWTf9
sc9EdyUwvPoSSJ7IvLlzUYk6P6nmYhcpHiIqOImaOOv89cPlfUlwEi6yEpUwjh0glisn5YK9yHtg
SofMO9kqtexfKYd/gDFWFfdNHY9roOAr6cdG5R2VvvA+1WaT/Mo7IBt5i7jBINTlCNO3ZgDYJTel
Tn2J6JB8BPLVRV4Mcth06uqEbiLIrAqP7yXBQCMp3fTK/XjhO7X94r9Gb4Rlrue9W1jeDAsq7+D1
enN07m2DYXiCOh9aaUoCycTuHfgXpaciy5DOUW8W9gE7Vyd09Fz5BHiShGbMrzUaL+gI26/aMIUg
6Ag7BMDz76cpDU2jRN9gguP8TS8HgQeLFN7neW3c2yaLFfWA9KqWHFJlopVoouyi+FWrTjcLfU9G
KhTq2C2pivpOQWDwc2tnxhOtwUz4tQXcI3o7quwzyu33crSp8iifyd13gVoA9alHUUhgdNnwhOJ3
dotJe32YbPta8npxKfxdC0YWSgAbGWHvFDaXNllaCTQE3b3xk6449SdFAXyVlGL60SWq6QPNytne
bRZKxRmidbKvCeLub8LtN1BobjClLcXYE2fsZCBwjajvNsb6S9EyBn493shBD/b3q1UX6rVtuvUg
drFzy6pofW13EJyA8w3RUzlDeSZ2GuvEeH+QaaDQVjgx98SpC5sizBOawrnhyOnHCsCtXyyL7PzW
iOf3b3/rV5590znbSHGA7S6yAOEhNdkk3RpUDF544nE9JLlZ36rqIBG1XI0rJcRfktn+2VErJxXQ
4EIwBz1/dgURsZj11mBE5OhGn8FUP1rNMjDvhwg6+e4QgzIslYEEf6qn3A4SoOvfJwsaoW/iaoTc
lZH3CI3EivwhcgU9lHpKERd1jFU5LoQb5YggSP8NA2zzfVIuFZsmaccbyx6t+Upofu31gRtk89LI
JDbvkqhEDp6FEpAEWVEr/jDbxaN0ncGfwcAHaxGb/3FEzlYFacCEHC4jGdQ+R+wmrHhQKJdB5xTf
J29WI1wtLYAQXYX4XkmQKLv15u0tchEO6L+QjtpMLcm+0Yc6/2LdmoALQ6YHL0HTvRNrBQPQLRIU
ZfRrTqwXN9221NYUtpjKUO9t+c4/N06XrPMaKy5L6YNyj2/HjBx5LSGuWTYia40drs0wXnmnrz4f
xdSmvrh5l21//s+iMebRplF49QEgS/ed0XR6GHoVedxN6vztV3mRNPF8COVtaFMw7nzG86X6nO2/
oI51cBq7ecnRmQ3sDFDctZv71XWA/KMLzdlmfHG+TouzD+K5cDerOF5vaYbQd/F4sYdizeJPRlzU
ASoo7TdbVOJdqkmQa9ijBbVdoY8Sj471c+yEGRUos1x5AxcHBhN2+FAgmekfcFXvcple72Y9Rlee
7qHhfaToW0KoLhKqp0RqDaWjK+34Vz4uQGLXxhDIZK645/UIzJfsrAFI1DWOgyKQBg4ND54gWb1r
H/e1R2PT/n08jug+qhdZLgFNcU7w4waMnoPZHJK0DcZmKI+t1JQrr/K1R6M+38Q/oLIDbj//yHqs
FqUFb+EwMZb8mFa41tVO291Njnut8btvcXE1WIis8Exg7JkB75rqLgN61URC5QANCTHUGeF4VMcX
4weHxbgfcGF5RMVKKFGnWHmoFuN4ePvg7Aud7QfwmIQ8RoeA+3aBoRnV2IlrbNFtp1sewHUo7+q+
6k6baefjKpfsdkbWLWUcuFTR20tfpm/b2qTAWxuK47QXDqKWbUbNhrM652PThP/H2XntyI1kafiJ
CNCbWzJNObkq+RtCarVIBr03T79faBdYJZNIohrTPTNAoxUZhhHH/MY2ezGc4Wtglk3kHd7VKrnX
A5UIGrsxOk/OOTTzEZtl4Lfm73Qp6pOjobr/pl4y81M9U5r120WJv0dILqJjCuVm51XauEYvfvFq
u6K8UKKG3P6AqUz74tjzcA+3TMB6NQEMIjH9MpiE5rfXaWtQGk18aKQMHEr5efx1jdoOflfkwuVh
8MLk99w0aG9pKXo7eTu+A8/TnyIQC8fbg17RU+TB4FjSVuZShSazuk9Qc6AUqOTlIa41L/6WeAiy
BmrbheLRKtAEBYsKmOtQNYN5n8Vt+r1drC45QnKfpvcjevkIS3Y1Hn7GXIAzdyGHvdz+iVtHl/Ug
1JHZFCyDy3UpMwGqLSa+GcbcOeHcNx1dFOLuNdrfv4ceaLxam/nJrbI9G96tCwlghFRxlFJE1uoV
0ESimtmcVTiDGR36hSoqM2yE9dmlEo4XbP3j1TOVBursv4uyyhVOpMbIK4sBQx/atNYPrWsK/APL
MMB+Uz3mU/yrVA3xFTXGPYeAjYnS0UDlhzKE1BlZ3YRo7CTCohh7yCM89jSzy+/7LO0PuqKY50gz
94TTN55Xm5dchgvwcfjP5ZaOjlmHZRixsAR8+ql3rSK+R29lVztF7tBFsAxhkvCcBJwWFcDS1UAV
8jChO9KVDQ2JdF1mYZ+HPmyfxqYd0a2ZlHOtVGkQxjRU/bHouzf21MP9L6Lc9qlUxP6o6eLD7X3e
+NIBRMgUkf/hSK/SFzF7SOr1GrKGgP/f9nqXBgrQ2LuiCdtncL7GUyPKT7fH3FpyogEYXLLNwnO3
WvIlzfQCLxQ8bdvikEWZ/cZR4nqnnnZ1kABxk4kiVCAvFDLgy1FEZWpjjlRp0EdCvNW0g0ArSkhI
sj5o/c7FsDEY8jNo+4GHZIv/VOD/ujATQVlQobPDthZJACwce9mwhIo69epDDzxp5w3dGo8bSMr9
Q+iiqnY5OafSW10dHDcoMWoHRzp4Z/qi9hvVLeqgTsZdxOPV6QVYJZl5HGCw+OCdLgdcaFA4+qQz
oK5A51Gy2PkHoMkUHVvMZLEiHpsyPlhLhXqzHiEPFsPC0AMNnoF3pB5NfanUG+OoYEwLBJi77GQl
fVyccHWNf09AOj28yKL6WBuIWvtVUqVPY5JUwxl31Nbzlcip9lQ2rs4+cyIRQhQEzLVmrrsDBiL8
RVHlbuBaCuQ3Hcg+cj0wDY/FXOlnDVnLk2HtautdxXoMS/BDhYKWExfk6obLjN52lR4MhzYbLQjI
ycbSrCsM4BT66O0kfFffmhwMST2L+AO88Pp6y2cVAXGLwUzpXHbnCgcPi7aYoj1l7a2BkAOhwIil
GO/46vGuFJL3Wsm9YCjAuZqdPT6XpZV/vn11bJ17OjnSHJp7lGW8PIajXRpqNs8AiXWne9ZGfNjK
PiuDBUG1+65G++r2eBt7BVkShh/VY+6qdb7cxP0A+yyH01Wk1Bv7oi2fOqSPNb/Uy+bn7cE2ziP3
B2v350x6ax2PEQZQIrDpQk9Sa99oxvx7MUbhm1Xa33tFlj9lHNmd8HJjQaUSOr6gwHpI5FZ38YxA
GsmN5QWlO0CYmzCMTwG7BgpOnT+XQd+DFl8X5Ol3glig/0u7Q7JCL3dwslIMOQBwBAsKUpBi8hzb
C5Lzus8J8FIk8KMMx5auoSEwNU4NM3fxzvbYDHdIIe6Jom9On2BO/hwu7jUKBgGjsOz1OJSwjf6c
DyWkOVnYzWPnK7F8crq9w1fxI5OXMRyFH5IPCk2Xk3dw/MiWmFtUKUJLfyDOdt6m3jg8CeQ0fi7m
ot7VreHiUqL1xs7YW6cLgqWJuawMd9axq4lgSjc4YPBFiEWyhf7yU53Awivypn3pczE+YyQ87RG6
/7TgLsIepgxjlBMGiJpO++q2a+kg4IyWhUHRRNb8iCRN2n+DOoTAdl8qU1sGcGdndAJcL/vgtsDO
g3HQun+UpcV5tzUVZ4JUCEXz7DoIbwX6FLrPYaiPTZCQ/RTnJKa97Xtd1NUBJixefmBt4fjV4RTr
P5dcjT+KoSsorwMhGQJzsJHbNVEFOlZ2iRIwgA6veEyVqcl8sUAsPHW62yYfED0b7opELUe/afP8
kx1aqH/PhhtmO42xzW+CEFuq+JFT8BpdHotZDZO2FBOqVc1so5mBWuNvOyzzhxoo76HVl/w7+jZo
evVeda8tovVF5Y0vmUJrxs+iudozC9n4LMAMwNcmvADEfYX16d1Z9O2kB0lY9F+WerTlkyiGR4Gw
sZRYjqKd2s5VVYLq1v+BmAlFYTZfLkFdVHU5ekIPuqk1g36xpwDAuHaec6CW/qB0VJlFVcPRJAhp
qO8l8Gpvf5wbkyblIAomOsf6eW2UniIt3QxRrQc5q3JXGdHMkG2mekckqfu3fT5Dq7k95PXzAjQe
MxY+O7qTQCMuZ13iv0JzuTKCUpTL02jWuY//RQZntN+r/F7PDmA8pWYGwevtyg1Bj/WezIZGZyZG
8iq1mE9OL34KVyRHXROvFcDiQoV+z12H6adJjLq65m1lVI2EvwNgo6grTEN8rtys/DxrFLxfv4gy
Nv1fcCzehJeLOA96E5WVrQeY6HipP5VJ/7PvC9s50aaCxHh7tOuDSpKIsAkNQJ4LOtqr0Zw5Ia+I
DYLGlAp6KbKfdu9h4ZAKTT0vSey1hy5V4AhraVX+1LNR2Xu0rkMtyU9EMZ0GAvaf6/zJa0ynj8wR
uG/VqI9LthgvHJp+Z6JbB0aaAQI7hsBh6fKf/5XSjBZuplUG6UhMJbpU9hwah9SAv1xQdfq0eFy6
t1f2CqYkz4wUVDBknxIOzGpEtanRy0py2EOV55YnbdL7Y9e3WFIh/v4e+AKU0cxO86DOh/pLSKOD
tKMIv0VZrb+//Vu2PkwY0oik0KsjnVsd33buhnoaIZ12dowVY5nHd0lnq2dpubCzzhtDaWg2URCA
BMqCr1K5aTYMxYGSEoRCy96Zwn0hEw+f2mj6eHtOf/xHLp9i8hxZ+yRvhGa6Fv/AzQ1zJdGYgTM1
xTOltupjSPxTERHMCfJFQKHfA04w52NaR+3kT0njYE/eQlvyY7vFoil2iv4Y9XVp+5YNty/Qalj6
r/+epbEqUSIFcZ3m4uXBc3VFbbMBNDuN1Ro/ciAKJ7Qn8hHlCL087CyKfFvXi8KZo4tBNVxCLy9H
ExaaKF3bG0GOI4mBDkSl9QsGT9oSP7vpbMKZEFHzbco8egBo+Iz/5i4NycXk3wtUcyyjvc9Abvj6
F3EQpNw09Gr26fIX0b9q1LwRKo55cXZEQMH41WOyccIaSfmng3vZQrDIsYUADZHgdVGop3np2p2F
kU/P6lcA6OfqJlwH8rCWbYmLRWpQRvhyjANExIk08h55IlH7kackMWHHkH2jK5vvdPC2TqmMhEDt
ARCFurqKBBKUPZXQydUgLLLxQTU78ZgJtflkddH8QBUUL618KoO4XggBMyXSvw+qWt5lUzKci6bN
XkD6lN/HUs0erNIS/94+Lxt3L7r4nE7KHaSFawCjayKAmpepGtgVJlIGMuRokDR2vKPveo2lkKqf
oFTIdSFg8uVdHoLZDct6jnAWq2rdRsVvBCnRdLA6/Giqavjz5vSxInPTpb6E+k4sUPqQgI12QtON
R4CGFAQvqUUq68GXP2O0zcFxkkYlGMvjj3qa1F9MPUk+I9ZgP07gVXcO/9ap471B+Ilnh2d29bpq
0k+5crEesSBLvytcJzr2Y5Y/6N5Y3XdGA26LPuf97T3dPHIw2PjowGqiHCR/1d9PHbOpFjKmwObJ
+yH7YA/VmM0fgWIX58JdsgSpgjD8bdtz8zWnL2AC6pfmLeTn6lszmuzZ7yI1ByXgdh/GvMRg6fZP
3NoHEGxwROjdg1GQx/KvX1gutJt4OzA5UtTo1M+V9x6GHJp7CEzUHxxzaXbO+daAHD46XyDEuRtX
KUmSev2Ik6kWDHoZ4Sdbz8mHFMaegWSlndSBPgxo0Nye5Na3BQJRUkVs8o4/zbu/Jqm0jlqZ9awF
6mwuL1jNfcYzc/x2e5CN55YQ+P8HWV0vaRG71UTfK5gbKFQHCG0LWnpeVOQoY3bTf1lGALJYvdFp
pdp4uW/h0vDqF5hToTxr5EeSwH48cv5nNAlr2mttvKe7f11ikHUcaGuwB+BqrclEymJqSlElRMOJ
nt9XPZ6KU9papx4vnnvMjX5R8qgeCvDdd69fWPga0JcocICJkAv/1+55nVhSp0WoBUQwBFADJ9Qu
bYa3EOjanYOyOUe+A54laSa51tkUgCQUm5s/aL1oar5puRaOT5PAUJrGcmGgg4WM1CkyMKQKdG2K
XusmTaBKvAB7AYgZMO91FVKUSTbGLsmqjtrVKZrRf2nUpXhfI+twvL2q101RxoKRgoUbsl74oK9u
xIpeWYlFkx4stj1Nj/Ygxukdim1jFKACwyLjUQ6YuVDTRnmTTiba501bkMRms66A8DeUn6E5a93Z
6eL+c6w25p7e4tZVgSAwHVv66WTuq6sCEFOCeXKIx1MEnazSErxClrh9wrDoF3S3ZSdA2HoiJLUL
eRFVxkerT6rrgZxYEyUsRK/hOebG5wEXt7uwz7KzO9bOAQp4t3O2t1ITaoS0PdgI8kxvNcfCsRJj
0LiaiqXpiy9uOsUPZuPV0xFgagXuU6CcPg+L0vt9UijGw9imY+ErMTBFn0w5Lv/DuSARBWRJRk/2
u2Z/ATzQSk6fGsTKVCpnNbK07gS8uU6/Amh2vFNTO2127CpjGc9xlECAI6oXLM+QmV+FlusDuTn4
aF+d8PgB9q5Fe4d340LnHuAVwZ8Fus+at9rpSk623KqU8WrcIpJQxxjbnU+3PxF5sawiVf50JEZR
NcDdfe1sS1u1H7Bxx8iTZOJ+Khfrc973H1RRK+fXjsTFygmQ3X8soNavsOeFTdNFlY1uwJifk8hF
gohC+Q9RD8XL7aGuTzlD0ZNiG+WI67cwBsBgtEZrB7nDg+8minriMGHFoEA/mBVtPE3WPO2s5Oag
IANlnw8A3VpFoV5MB5IkLnM8Sx0FDJtCPDUA9+ShYP2U5OZ079Xqnizp9f1B4EIdAyQZryRX3OXD
kWFPY+i1g7ddAv+UNxgxqEm1ziiN5WenxBHv9tJuxNYQUen0S4CgJjs7lwOiiTP2KfWdoJnn5VOc
VzTZAXtlL/CN2yMI4vCNhrLfUTS68SacnPljW857z+UVd0ViB6mHS0seWQRc5zkx3pEjWnQ2EVal
OSkKPlIPJxLTgCgBzO7a1/TOeIh6Z/relbH+LlukZpAVwiPydWHXv9XSdr9bhai6N1Y+1l9QTkBQ
M7amufTbQZl+1bVbeycvM92HxLQa4wGKifLp9mrKxbr8+pgGFVOWE9DsVSdai2ezM1D0CRytHtWz
nWuJi/+fXlKTj/HbA+k9TaeeKyw9pr2RlEFJjcK8v/0rrm8aygX0HiltIIyMaMvllja63aqhAUdQ
Fw3ESUskH1rkPnbijuubRubDcNoleI7yxGqUBYvJSllcM1CnUSuf66HKlIMpzZurhTR659HZHI0q
GFmXVIWxVscU99I+jWzPDDy8SpsHOkejeLPo6LAFjt2iR3h7CbeGowiF2AFyrVLO6nIJURqTpC6c
Q5Yucb/briiOfRgnX0t910NiY7dQ7pYuzFC1uUdXJa8OJzlpaOGQRDfxPxoCYZ+rKNmJEzauFSkP
TtDNwaDPvrpWAB+7oCoZZFErxcB9oUxPFPViCD5Ts9j3OWoS328v4dbNcjGmDFz/joF1gCDuUDg4
csChAtUQHxEnmk4dZPtnKpvRyzJrrsBxcpzOYorVx6Gdxi+3f8XGRl78iNW5scJmMYeZL3JGlPKY
4jKLtXrVINsX7Umxbw2F4D39U+AMZKarocAOtjk1RTeAv9LoKM8s4YOy1FxQyrTs1QbkH7a6acA/
A78j4pE54mpxK5qGlZdV4CaUITPOVZwZ702rXYyzp+V1evASHQVZu0uX8U63Rwi1wGrD/NUtGypz
GjBk8mLwFObqWKlhZDb0pTm7aWv/guiZ/yBpnwZfGPq4lxFvnWE+ENJvMLvURVaDDbTtC6gUDJYh
PDgsRvFWG4l641RtA92d+x2+7NZ+4rDHWKSlPEurJTajJBGDJhygKY6iHVA1cEdfS9QkBAI4lD9u
H9Q/Raz1jjp0GSlwka+CHrn8XBBLA5zf84mSrvPf5jj2XVB3SQ9GK8v0l2RJZtPnvsJqBzZNcR4a
g9JLAQAz64b4gxKOw+H2b9paARwfiSMhLsDzkjvy1xe8oMIWxej8QuIx+0951AxBRTMdWralnW8P
tXULIkfEUnOaTW9Nl3IR508yaqBBIsbmu6Cq/lChoBbv3OtyEVeLTNlftlfJIsHVrhY5dGZ8KwuQ
MbFl4bmNZbL6C0VfxCw7xTD8RsnV7wK/7523cuNrBYAHbIEUTdbUVs+JWRpzThjgBmNlugWiEXF9
iokrzRNueEvkz7ONi4yuVtHHrpkyTLzHztF2fsRWkMV14cHYg4stidiX21kvU9kju+UFVSgcxLkH
RVsOjQNs2K/6RXmOlTxPgsl2ImybQaZEyNxby3iwki75qI7L8u+cZeU3MLYsYG9reEGbveNEPo68
Rhu4agvBzJlFda/U8Qhsxaiw4xUNEM/Xf5oWAauU4JFWmOuuiJIkRjvUUvlnMrwD7X+8HjJ1+WWL
WtspPl9/A3iHMBKQDVqcxFOXi9aOxlQOYRcf6Ax0T06CCg3SrRlPSVzsHM7rC46hXG42yPIOBMXV
4dQ6J63mqAE5OPT1ObWlWLNrFOd0xr0YpMYeCOb6m6OKKoNtqqXAQtcAHIWcCn8koQSFh1pjhFm9
7/ZiD+R0vYDSa1Ma2JImIuMhf8Vfl0i9JEXWdpBEFFRdKRWnvPiUqN4aVee9+lgwFFUAePgyhVoD
1LxpcLFBm2iMliBamqrvAbFIhRLXKE+376vNWcmBWD6wGmt4fjgYGIh7MzSn0A5PWV7WAWJ56lGv
kDa7PdT1sUDR7k/eC+uJPohxuYCih1Yp4lQJdD1DUU941nxMlHAGseS8y1Xz9+3hrmSxSTtVgMIE
i9TXoRatrgkVIVXUy4D5LSnXiU9bBaXkLsSPFQ8BBCrReFc72RaMof9CXmu83u86S/3mIgSNu4lj
zJ3vtY1VQ34S/fh2xPNaP6ODhhuOv5Q1ljM7P/m6S0gXgMSLxrzsFa4L9CGBZE9DRAmmsLRf7Gaa
XtIymfy6x5CQnzYcIs8p72xhPOiIsb6JEgSTb/+G6yteUgTQIOL9Io1dI8ri2RpNqkuono42xpSl
RKjHtX4STV5SBqv0e4dr94jMr3jKWshUt4ffaNswPqUl5k98BDL58pQ4MWb2wEAR6U9dCQGDnRMI
ZPF/6YaC5QOa0a2fR6L8Fs9a8xybS3KirDv8wlOgAeVu9GcLTdpTmQ1DeBQeRnq3f+D1y8vvA2yD
ghx541Un809JTqiOQg/Pc49mGqbkBVqMOVDcnxGbmA9amzc7g8oQ7fK5p3emIUnMtvAJrTt2WdI2
mIUj0U6WZX0Jq7LkfWqGg1453WFW7eW+T5I5EMoQ7wDut+4HqV2BuiKNKkLWy+2oIQOD18yQi9U0
lA2E7hy8PHQfDKvYK55sDCUb0wSq6G7J03c5lBLrSTGbrCwkZ2I1Z0yBak3lOB3Gssn3ztnGp8Zg
RGiwMPG08VbnDIfmhL95NCLdmd1vSVV2B9qU/UHtZ1UcMz2LfqOa44Wn0USbCka45fnxVOxJNm3N
WgoRwmZg9tz2l7P2tCXF2QyeKTZ0SRR42qThBhmHzmPrWvn59uHdGozDSysJERuy9NVgZetoYd/n
0cHLegcrPxWfHH/AXxU0HsLWe6iHreHkVca3LPGp65bKUOpqXTawNWpvBAqjZOXXXAWSi0hF9+X1
M+POILin7EaMs0pyKOH2kQfwJVBMctbMdPI70SZYcEyovv+HoWj/Sa0riTDWL3csbMcKhSsjDKJJ
eFhNLEYUtGLI/1WEvfdmbq0g/Re86hE6YhHlP/8r6IDU3uWYwoaBaUZDfygglDdnZJWxRczdvHt9
okSlFiQzAm2A0Dgnl8OlRs2GjUoY6BinvYntMQ3KDM8DImMj2lnGrfdZB4gq8XqUqGANXQ6W6Ijy
9G0SBsKkkvHIe9h9Di1beTEqrfi9hGndothTm29JVR0q5WjMYuCmuRWKNsv0T49eesgNGE0YOBBM
YBJjG+m7HuOLX6/ccG4J+oKuTV9HMkxXXw0WHrj9VUYfKIBIm8fJGivvrkwheKleMX++PZjNrC+u
ejkYeSOoTmI/jtjlqsQxOjIDzxjvC/2AMDbfCkPaqcWjkx+0eUxfzfFgQPIBhB6owHATro6zQWJu
AMzvA2fOoOqGqThoVazvvCPyZ6+nJSX1kbIlgqa1dTkts0kVq5vqPphJkCf0CTCW8Ku4Tu/myfE+
JnajI1YTUuC6vZzyxF6NCwvuj/UDj9jqXgBjZaOi1fSU2BUXx7ykTM60ttS9sOnqQ5Wr+IckBsyF
07L6ctRecuNc3OAJ3/pj23blOR8NDIN4fA63p7Q5lPzTpAo3ZLHVUGmVhZhycEKMCjtWREi1B5xw
/zH7wt0BCl2XPpkVL6TkyYCZRAzzctcUUNWSAdBLxyTkVsy2/FUWi3vIapyay0Wxn8wO9+Zh1H6K
JFm+gBLYayRtbSBNWr4JaU5P4fzyJ1AhsjqPVyuIhYHjlL0sJ6pWYmdNr6JeOVGYi4R1MIKArF6O
AjooL5EZHQIXc8igDMfwfrDm/GiUbv+mq70W4FpnBx4VrHNteHvd9q0txfUb8jrVRx6V1Sk1qsaI
raEYwMgn4jQpaY0LgD0EtT11x9efHrJlCvSStcq0L2eKFIDi5gXuyWMh8LapZ3EYcDAKJrN+tf6B
XFRZpmFe8j5bbV3UYe5TqxTbqEC2P9WhrT55scjvY3cId07qxgJyOqDhUE6l9LZW9s9xtsEVshqC
MNSI4/IYVbDJGf18hGZ4ewE3Lmigc7DVZCROTL46KqMaDlqcYV2lLrwAid4N1JpkLui2oKqCKqWh
envE65Iqsrfw1ABPoZhMyXgVhDe5lSEEDjK3EEB8/DxbSus9Jj2jdkRQq/7H7sykC2anLywfcpnz
ocbXtDgAsHbeTaiDR8fILrT+x87P2vg0pUYQiEbyA8iWq58lJitSEL3rg6yY6pMC1bo+9d0IQolL
o/rXttKiCajLxPpn1LzsNynwBBy/shglNkG1/2my8G8zpixXXzoD25O72z9w46OWsE4KpCaKB4jU
XR51LQ8nS01wB1g8tJLsQoiAGql59Or0XVKDOOSZ0u5wrelPklS68/JsHUnkFKUMMxzxK9XZ0rEw
5LGZcBWDwx48S3lMIu0nHH/tteUijgfqvTQjKbgjcbT6zoSXRZiog1yuUqhTklp7MIsuDqxlGnfu
yY1nXKewx7Kiu09reDUUtkBxjL1Xj3BiPT9WTYQuGDKqmY8fXYQI2AwLpSYxvb2R8k9dPeJ0ok06
NDx4lO9XMZGTIIGPk9IQGFEyBqM+Zd/wfih2KqQbx4VRsJam4sZL8Ocx/CvWplWvicFEb0IDLH5A
7Ux/RI/C+OEJ4ZyUzoxPTtnZh8SLdL9UW/P59iT/aPmvZ6nhJMtXTqpNmf3yuCYDNlv5mOJyPsAG
udPDsDJRvQjD2Q9bDTpjWPciPDoof5rHMC7xk6ID0/4rzGn+nVm9+r0u4vpc0o8/DWEY349kQZ9a
JU3sY5SOJlLdY4yfW4LMRuJTw9JVxCdbuzrNSasld66VjdmDYynFEU6qV+7M7xr0RggBPZoCF8VT
B/Lg5fxSkC+dTWQEpMf7LEngXmhjHJliABlD8Tulbg5gYp4rH/1P7GfkVUft+Gue2B8KvPvwnfxw
e8mvTrM8UVgJU8/l1QAWe/mLoFCnCY2oLqii2XrEcRNFFLV21ccIVMIJGcf8MECD2kMcXL0gf4aF
50w0A5lqzZatHDA5GQ9HEM2epFYjom62HT1tTCKPQ5+297eneXUT/flwaBMxloQ6rD7aPMEglroe
Sja1452rehjvsrDPg87Vp50wf2soMmNAdWw1M1sFjEuOW4hHmyGQNIZDZ5kNyUSPxQ8f3s47LG/v
i8+FWYFQkQpadFDYhsvN6wvdapN86IhNm7AMUqczf+SpFn7phqw9gBst7yshprf9jLL57QXdHFq6
shDaYCe3bnEiH1AKWCJsIMIxR1Fjp+xCpDwjhxY9TbKMkyNa77dQKs+3R95aX+BFQFQBWTDvVfCR
IotpWW3XQZtcFulgsFAns8djmDV7ZY6tUwojjg4Enys1I/lT/roOU6OxhOXNHQjQFhNNz5gPk5cs
fm5Z2WGBtbPTg98cDxlTijhIUfB/Lsezk4ZNribsdZDRPOaiSI+1icsgKqTtk2138c4mbo5HRsha
QmHmProcj4hLTOOSSLpTOj53fe0dWq0t7xs76pGGn/e6Ytf1Dg6sgdAGsDj+cG6QywF1paztXuTS
87RKEFlWaNCeYmWwtMDoHetdLuzcPRie0/PueEr0roQnM75X435h/UU8jn7RGoXru2nv0g4o5vwL
/1B/Sc3OenVGIn8shd8/AHfy4dXqkHtOmhvzIac890dvcsXbMCFrJrHNvt4+09dZJmMBisSbURIh
aJ1fLkyEIW6+VEpHhVBVvvLNVl9TczHvnH7WfnYY2Xu+ljfJI7eA/Wwq7vKvpjb9XmF/6zyQVHMa
KL+ANltdXeEszFlQQgzULFwOGLnOb8xOt7/A406+Vq6afb497a3x6FWiLyP76eAlLmcdRwZmS0PT
BV1v9O+mMO2o+yLJQgc4FOmhS6o9ac+rMIp15sKSxT0Jc1+HURj5gUlsam5MzEk+eumifYjjcCeK
2poW4HkIn+worZLVKad3uSyjg0vW6M32Q1vnLwLOuW8heA2SfdDvbq/i1oX493Dy5/x1S2ka5DDV
LTucFZP8ECe6F8ReJg5tK+zj7aE2Z0bBA7y4FIZdkwrdPh+cvJPxCy5+T0QU6oeScPxrRTxX+srM
FbzzxG2NKEvMVOq5ECmgX05ORW09JI/vAtetxzvP7VqfGoWNeJRlH/XGzHZSlj/P8/pNhTBF5AdM
iAx3FRAtDpf7ZPCmIteKv7TVtcYHnZqOffLipHlRxqoTwIjqSQq0dXNyJMKJHN9qiu4TAK7Z8W2z
1LIgdsbIuuf6mJDd0fUh9susQgQhwWXovYjbjnpcpqf3AtyT6Q9GLn6NJnh6f+jCVt/Zt60jQp2M
O4zaNuCUVfjTsjF2abGKnrNIHQCMCjojVc8eJmeH1x8RaraUctCmktWIyw1z8GdyCkuqy0/pfGyG
3PpJgSwNRttSDsiw72W4W1PjSwYpwOkAsbcaD911I9HCRarZU9wsFBivnYMas2mGe2dxaygYixDk
JdGYouDl1LQoMyk6al3gZGECUXOsn8Q8G37bFslOPrsRXkl4AGxBUHJUkORP+eubHizFHsw57oMe
ss+/oY6Ar1+Z8xDY6GI9YDqcH8cKMbnR6utXt6wQFqMDD75JJym4Apg2rZsmZVVQM8DF27drq7tL
oV/5jjamp9uHZWNFqb/hNAtEHoWQdb/T0ebGqAuCjSSJfg9daZz0qh9wRh3Fzkhyb1afNYw/Orgq
zVWO5Sq0qtK4W4TKA4uSa3kUuahOplXtqWZvzUfCCymj8ppdpRncvx4KcMynswbUnuO6Gb/WnT4O
5JpV9vP1i8cz5tC+pSRG7nZ5RmavVbFWJXqzwRMGSj+2DxkMiLfIGmifbg+1kSVyFmTBAwQ1El+r
vHUCPmgL1AoDzQMyqeuldzaWoT+lKcYSku9NaXrXVGfj6pdUZBmPUJEglbqcn+gA/FY9g6KZFT6h
ZqMeemPUT3OoTZAL5n4ncduaJCkbuQxnX+Y1l+PpMf4xTsKz3dtdfaTlPT7DjDHvOE5OAXezKe8T
ZSxeH4PLpiZ3Cg8cz8hqaZfJbC0Kcbw3deMcs2J0770qnaE7JI0fIRp+vL2VW0dUCsMhlUs3gULW
5SxTkURlIqv5ZY8gXOr06l2pjP8sTr3XUNhYTxhgSOLS0acGuG5uyi5D1zpKyzvnmoc4rPQvqYnn
+qFEuH3wHbVRgL92uvn99gw37k4pZYKcqc3otNouZ8hlGtaNjPGmBtslV2BOoE1Z+abMscuYMgvp
hdKKaeDk9U7+du3tABeWtFQ+Q5R4mPzl0A2NYq/pAfvaTVc+pzocAyoOw/iuG6hAtzmPkyPU/CT6
rjzoS9N9aL1RO+DDrvxTzWpzjBRR/odaC1cSP8sFy85zslqPypiM3ipJmOEdjkfFqvX7yDBCv/C6
+d6OrD3hj2tSoVwFfB1lFwKL0HWUaDQuapSC2oCmUKYPWqUkQEr1PHHvlKFfnrW5aM1TL7zogfps
qR1GJR1EYFZz83twB2KH2wdi48jzeySxlW+MVVjtilYnbqSr/J546gkfq8ICBa1/o1TxH+JjKUko
VecAWgOSutx/o09mai2CgoFaNPF5qcku8eczOvNUWXn8VnhGNu3MbuOapCtJ0QCLAeLjdfPa0XKr
skq7DYYes9Kh7zV/tsPxkPNQPS/ZNO68pJvjSdA+jZg/zLbLOWbUb6PZ1VvUVkr7e9dNqIcrmU7D
I6KnMOXx+fW7h6YeMyRD5jVYvdxuF9d91lktjEEz9M0R2qVBreesd8p/GYrL3EMgnZgE4bLLqSmL
k8WIobWBwGUD7ao6eTPN3i9soKLn25PaWkTCY1fKAVB6WQtR6+GSjQ1UoWDR7PjOasfiCWbGV8Vu
ASZ15AK3h9v6ArgICbC4lQDurdYwQWBtRm+6DabI6v25RZLNLJMOlYXd8txGoMVWSYQDARAmWqtP
APtUa87smIKya7ZQHxLtziZx2rlpN9ePxipAbjCuvDCXO1VhERCHGh0/vdCNd7WiwVmP49F3YA77
dHWLnXh8804jfpSsLgDWvC2XA3qJ1YrM5StLBgdtuoqiYIKr0lFptOSwpGN/mjsXk70qR95x1LAD
1fP2jBuhufNLtmZuAYWy+QsfkjWEuHObmm4i77fmFmmAqGv+Awhk4090pQ51bbXH20dnaz+RBePT
Y6GBEK/2M6HR2yVoEQZ1FmmnNHKsoME65f3tUbYOKKQjDYAcAEuCvsvlTcgtNLdLcXeBC3SkHPar
cqP6uQLlsbN+W9GBbIYCq5Xwv7UgH2VFhIcM4i27y/Iggej1LUTj94lyR07xKVkevbSIZOwQvdye
4+ZK8tFzdVJTvOrF2lPquFVHnSYecu1LUSYVWA532vky5H6sEh1SYekLSP4BRWR1h+EJRmhbUaLR
zVG5o/effEuMokKlbpyOxtgOARkSdOR8UANt6pOd4GtzI6mV/9/wa4XFphoTO/eYZG7AJ59pkL+f
Pa0JDLNN7m6v5+ZOwiPFNIMblMzk8sxoeqzomsLJbMgdDqUWqWfOaHrATpPgJlyMgG5bc+rcpdtZ
481vUDqv0dIm1FmnrYpI+oXlhyejRAKA2qwezFi1gpgIL5jrKvP/w0zlaFIoX6r2Xs4ULS/RNAPj
odeWvfXiPDzPQ5FiBZBnU3oMURN9FkvfPS+aW+48HdcOa0RzBHLIOVKwBwYld/yvUoTddYAWXJTd
B1ot8/1YIxjhL/mSfgb5oOowyHr4TWgixO9H0ceS2Z+lx2yIQ92vu6q2cVGqVc8vxniI/DD1WnwG
p0kd/bbGoPI4m636BbfMsYGjNOBef3vttg6kTQ1S4hZhxq/DB2XWjRbuNF9dFvdHInIt9id1yeC/
oda2x33bG211W2KCphVCl2dScaLTlKXIsjdJnjwki2Pu1aO2jiHpP8IdqKg4/HW5MyO4t3b0qDbo
HeZYZGH5nToZSuBmc3ny2ireuaS3rhZ2FGoGjzuP4eokRLgq5bNC0zYRsfJo/A9n57UkJ9Jt4Sci
Am9uKcq1Vbda9oaQRhIekgSSJJ/+fDVX0ybU8Z+Zy9GIIkmzc+1lfNnaqU+uCBKzgljK3ehvzZot
zlJ+rtsg/kdvflhmf/+cb22iySVdFsDv0rJ68RuaqiytsJEAYy0qYyNk8DEMu3X/96e8JiIw6bnG
2Sw42NS4KTwfWjLeijrHtHc3DKVpjhVc4F+FXNsptZj5Hmnp+VPXd4gzbNKFs8ppy98R8YsVzSK5
WCCEBW2UVevu1sLFZc4c8tu2dLVIU0tj2ZnvYhFzt4u9DpPbGg/CIK3DQJepazmduKsm1yEAqEWe
lq3xPP7PzBzmxsWcEZgKuh007ufvF42ikUQnLju9dOG9inOxS4TdHObZfue8fWNFcKzTIyYcEgD6
JWg6mjEaGwGq0oyBn+KGG5wosXKcHuLwnbnxb7/oxdl3wVCozsCeueu9mBxVt1LIxNz8k7yu+10k
xIb0qWjF96p2rQeaq2QlFHXbJefOzZfg4yyGkDkcFGuXVkGIOAoRnXMbA4IRHWyLpbqRk1wfpo2h
PIgCdcQ7t7c3QJJLRQDJ+dJ2QxH9/EMYWMHbVAP0+nAGDtUWiH1suf0uNO70axtKgaCzG8LgnV3x
rXoWpQBo3qWHf6F/PH+uiNpwrEqu2tJr/TtrWoOM/kbZpQOwyLLD6opOp1xVs4ubcd2rzUrSUMbD
niXu/vn7antjinCZdIFqAN4uUonnv8WOw9lEJhl3mEV7P6tSuXtnxP1mN6mtee8sfWPAMcOEsMfZ
jQPcS4pRbAE5OLHiLM1H8tOa2dupSRUHrnzYEbZu9x1dz/LOV37jDXkoGDf7CRXgy8aqJB6ZL22g
0K5jmw3L4p4xtLKRusz/j1bPRU0AEsBxDXh/OTT+c1yPtmLm4E2GN5Hq9rGghapa7e5zDwDk79/t
raG8rGooyRcTxZetHhPHOuiIa9opokkP8F6QZ5poPoYCirCokvI6wrLqndrrraG8DCG3Be7PmHg/
fz+zxmHhriO114JtOWHU88GfI7gA1fSeO9abj6LA4x9Og1fS5Ha1q0BV/bQrO7c8FknvHedEkLu8
9O/R+94iANBVdRGcwO9DC/ViH6jwY6fzD/TQV6w0LGvtHf2fcq/drctCbNGyYBnmfV0JnSUJHXJ7
baZ3hva18PBikAIYQdbLxfjmpRDLj4QtVD6ASmzdNB6GS+IsQEXxyUhUdmnUxOyToiH79BRP6CIp
pIQQaTfPbcyOFRXXkaPp9QH1hee1l5Tlstbbp79PuzfKHtQ5FKL/9vJBWZ/PAFWOQ0vFKncxWjT6
OaXZe4v3aZJOe5UnwXtWoW/MApxcMI8A2aMmeEktHewN0koI/gQ7p70XpCqlnpUXNwJrzfcOsMvk
fXGAUaT6SPovEXLIq56/GsWeyj0NyiBGnYd7b4sIiMKlXe0CNfYn3SNNSp08X4+kaFjHeluKLg2t
wDr8z0OcAKFTI6B6uBi1Pv8dAvwmqojh2tlqKzGjFjCp3WrbB8kir4d+LD7//XlvjvFFfs3lFGuw
l/QXYXNB0IZLuZfg0lWYElPY0ZqvFJDA/1yPcJfBo4pcddATsLDnr0YOKvZToSd3ftEmJzHj6of6
kIzScQ7eGcXXb3V5FA+hc4aw4WVDaeqE9uE/y91i9/oQkH6S2ipfDm3ey3fO89drAqgdEghdR05S
qGrP32ojatXPh+KCJxqZ2oSDn2mCl3sTumNKW2A8//2DvTagABNir2BGwh+lzXJ59/8cM2XvRwMd
Mt4NMN8jGSoOhoOyuIqnijVyj7s19OukdwgLFsHsXw+Nn/R7zD2LKS2LlauDtxKgnObEbjd70YXe
Vd3l6lcdd+4hz6u5ydB+OzeM3dpkwvXKD0VhYUXx9xd5Y+MFpeTwgldNa5/79fMXyQdrC2187XcE
Ia6/AfC78xBNzbnv0JylkTXP+0ZbyZEMHvucYL30BbhdFu+s/Le+H5IwGDOQv/Dhu/z3/wxnlUjV
jGXDJmOFLmnukXWwpyU4qtx1d4TJtO98vzfqPwz4+IaQGhH8UHQ9f2AiS+zZL7tag5z6ttcraIJH
rvhJtGUat/WhDP31pmHn282Fjkj9Wg5O0L8X4/S6hOBnEDLrQjfn3V/qJ/zNy+Nl5oj1Cn9NSzda
jrotVUZ23CWTb65OjV+/B/O/MdhUm1CxAQDpm7w0yxBcjHQ7BRJH1xjVTzRsN7lXTXdr0jRLKjbV
vmfx9BqqwsoCfiX+gyyZV0XLGpEDlmtDKFZrwQUY7W3Xrq7c0xus+eRWkIWESmSRcsenv8/vS+38
/EThyajy4JJceLovTy/gQC1WAQC3ldrfiX6ob2O8eE5/f8obxHYeg6aKf7lWIOV+Pp3GZWpMrhO5
s/1xcrgeb8OZzHDso3O3mdIZ+Wq5twZP7TF37nY1SuuntauczE6a8mGOVTscZF6WB1N68Ttz/a3P
jdr7ApdDOqW98/y3WVPV1G7F2jJEtT1hvezv5Ro1h4h0jT5zcjC+d1bzW7OadutFHIKrHj5Bz584
5qENSsYTLXvu913p+7tyjqP7OWkQguPuhEFD7r7z0Lde878PfXGlD8bBdKFd0m5fmpDmRD1miUXl
4Ie5e68Qgb9DXHg9p1m3F10kbCgusC8v9ra91mvRKLkLMU85Qy6TWPZKaz/IxqSYO674TEqiLW3z
P0dp0odAfgMKBBZKbf7iTUUVbSENfrQwVhVNJ9+XRQcIDCUAk63Wbo690YU6/n2KX2bws4XEvZSC
iEscKknoXy9w9dyUdbvRPdstC95KR3fxpptA5s51Hzr5e9viq1V7eRgSGMSYWDLiQfx8Am1TMwt3
GLgBF8a97xbtHpKxj57+/kqvviBPIVyETKALgv66tWOjYKKgg2CzYjpWCRoEUC0FCHZkUuoIBJIg
mBkmoe9Jkl8TJXg0+yAIHldUDOpfFJhFDz9isIDIcCt3fizuUP6mqsVu3t+gBlCKeeGVKr3qV95J
83mdpyK5BAQkd3kt8cwRLT5vUMFz+fj3IXm1ci+/ixMBcBHaEmP/fOCjuHO0NW8AIPWcXAJbcucQ
rarKCkXNJicRAIVgefRO+fbG9yZik14mGgKugS+rqejCfE4uVPOwy5svfR+XDlih/y79+Y3XA/f4
14OeDj5GI89fj+pzlEwGnqPt+tj6JSncTqwrb7eOW/wJ3JhLnUWI48+/D+sbM+3SEb54qBNLiaTw
+XObBBMiNfNcU9Ck7Sc5Y/07+OlQOmafGCfJIIf4KZjkexTz1yOL1dflZKJKpQJ/2SgeNRQozp4F
A9pouXVya/s4VvN70S6v9t6LhoJKH34NBcWrangp640X5/Y+1QVBdJPyT1NQ/TBmVqdSg/P+fThf
f0bYYkwWSFyYjcLWfz6cOZ2pxfNp51fomNtdtC3ToXHn4lR7Qf6YB6t7Ja1avLPhv94BeSpoCIbU
lxvUy85+JxQ30wA+l5kIFC6GTmdD51W7ity0d9bDm49iR7pwlrgHv6Q2zr7CGjGGR0O4X/CzHHT+
S9etc18D/375f4zlRX3xLwRJrfR8LC2nXBlqGpaBABH51LlFUe7DouKygvf8GkH8a6sjbv198s5X
fPMlKUAvvZRLdtmLvWazvFEC/7IY7TE/itBvruOui44e4Ow7j3q9/rgYwvdjzcMwpOB//pKVFoTZ
ugA7qPrjo/AR/R0TadTR88b4NyaBQ4xxYRDd+n0ZvtMRfn3DYnEgUrtMVJsWwEtSFJVIKblHTbtC
SrfBtMUm6NsPl1HviCUxXyo/XLtDYZR8CuLe/Ekgq7iQBhftfPz7t35jMwAUvcCG1A6Xrfb5MFh5
2aw6p4/adFN3v1gIS3dO28feO8P91nPwE0H+d7llQMx6/pzCgUkKL5s55XfyunCt8bC51XT4+9u8
ten89ymXX/GfOyMIfq1ExVMivTQodqt6F085dPBhFvNhSXL1++8PfC3CvzDfYS78CyzT1XnxXgMA
oNXPjB8taPeprVa/zPLWje56muzfFHvwFYCNU6c6Xr2zG27zTZt41WOX991VVHqI6P7+i94cAnSr
BAFztWFHfD4EA0YOVXMhcwxNO30OraG9IvnV+TbGXZTFLhjEO1/2rTVLDXSBquA34Tzy/IHBMndy
NgBjeWNVp5VudpaLrdnPYOTvXFvefNQFdISkwu70qjM0R2YNYyhiI7qwg4n69gzRAJc+Zw1Ofx/G
t7YHmp3IDsHFwKBfrIuws5Z6Lgg8W+yojbIgrpffc5njM26NvjpHc6dubFnZB8QW9fHvz37jNf9V
crJHcEmDs/t8RM1FQYGXFPSCwhpul220H4o1QjmKcOadBYMT1hsrE9yKUoDik+vZS2DTJ/A0HiWc
+UiRD3tt6SYW6TLSs8Um1RseZWnxmkVYuuYonWV5QgKvQbFjac2pX0ZNdXCg0n60mtD6sW06/zjI
PA9TvAk6Bxu6fMRTNB6dJN2catuOmxMUKqvaqLKPYgnEr1F6vjhIucz/hH1/8W0ypGxha19ND/hA
O7jmhsL/FY+6+eXMZL+cNlP6bTpOQn/QhViGFCTtUqTXXvsPNb3zuY+lDOkRiPjrOkVqOm5mqL9i
LegOsI39KUS5mjePle9Rt0o3rz6Q1DyVdYpc2L7FtisRJyBXRFWUnLAwatvIX0rJsL1rQ4Ao2KTc
zqlaF9T2JsrzTLeVDI/rQmbq5DVeeygTE1cnnOIS7vZxH6nMdjccf7dhI6uDPkpvMmtwKn3AIKQ9
JQJT3H0jrNhLu24biwcCSoev0GWLH73sl69hCWMZsgYhqcg+16HJfGWCWzUUar2ofdUd2JBjZRZW
boS2J652rvOawIOUTaL+pw/m0rqNo9J5hE9G8qlXRflHRwoKzQWLJdwkyxby+WT3Uf2ozDrWe2yg
5yRtg377ggygxKnZnZeNPzLWn402yuNGZPuHAN8RkDJVTre9wc0NwLXnNy2Bk+uLuqr6nfRRgZst
2n2SbHSjp3sxIwfEuAwHrUOBcRZYo1W5d1Y5jNXVZIL+roqinDctk+aqCKwuOHQx03/HAeV/HVRd
/iD2jXCTNk5q4hS509EPqLdjx4Hq7SsnoDfQEiZcp7mPRx9mJDV9gh7H9Fvf9rd1XwzR6KUIpTQ5
a6UMiitItVt3nIUnHoq+yL+ozjgBVAPMcTK5kpt6iEi4bxHm9KK5xZbAgfTQ4a04OjbENd7COZBj
WPpXlq+BuCEI+U06eV0p0lhhw3IKVGRb2bxM7nIiTHG7sso8/o1FklzxAwEtYkDnZD0jK6mnbC3s
6Ie/JmNwCLGXq9MWf8Q4JRVgSB4X3TfbsUpaHZ/7LXDqjJS1ITh6ec5fZll6u1r9KrAwjKiHh9gd
h/u8rcWMkbCcbuq89B7XtbIx/l269XsY0urfuXh8RkcMw9sGQt4cBldOnOce1CSumPsKbsRyMFNs
nDRQwQSLrYp5zTZSuj3bxLXP19TavZdGUyIeMde2AlyTi3k4tJvEmV4tY/7PEkZbc/LHfP5nyN3+
iw5cU8J2X32AMaGr4bAVm/OnxDTvZrN1xVYUlqNKfR1J9PRR4UdpP8rk41RYTNdhG8HSGOPmpJmL
CC7DpX3ICzLdjporwZX2mWjH1oTcJPvB7f9MNf0N6OBqxn+gDbGZsJZxOkdRSyKkpPDuDy1wFHhN
2XbLaW2jPEug5/v7poxz9ww3YWgui0L9A0zsLSn+r81jYuAtZkp267kI4vWTVBas2w0j0G+hZqpk
PaFg8qwKXf7mur19C/wxHDPVeSsn5UbI0SnnS9uZiBOr27XxkjzOoVr7vVuUTXG2SrPq3dxZ+Bi5
BCgXey9ebWzbg8U2KXwMIikajyb3fpZNPqbDgCx6t26O6DFlJaUoHY1t6j2SkyLOJnvo7VT2ZQ07
3h6W+q4sl3o9TtWyqWwjDE6dqrzW+XXSD6skihG1P4mgo5WQ1KmVOg+x1SbHaZ5A9DaNY8XJ2ggr
TKPStvT3sip0+8QN1//lxGtZFHi6yeEWBoMLlN6YQZqHiZ+z7mNvAxALh1Z3N87oRfo4m66Irxl8
xz2FG8xza5eMbT3fb7H2quvcWDi4jhjFDb9CT4Xd16Jse/bEbRuxc09ViIc+/fZAJtHPsCqm+Gfh
bLNbAbsqjH/3Oc6e0Re3CSR23mtgFuvj6Ad18nujXBQZOaC9JGOpzLVjpcGW0wBNteNOqKwsEWNh
jc5WrhthmXYTNkcTRVP5o9jIoExnz8Tml+UoNQapXkIxnvIicIvoOo8T9qydUyWz/TTrxdGfoSXm
WIc5g7PeYb1bzb8a0undL5ZPEPW1xani7SYRFvkf6Q1ruRxEfGHwHLkfbfUDzFl3vdWaSJaRe0EC
0TqdOsca6kyCOA6/KyzncWhMvHlYPvZNVw3XjSYyi9ZebHR3lqT+fMW1LbAF08deirt6HYV/IolS
DzcFiD0Em6ULJu8pdi3ZAsT7ZC9BWcT2/NFqw6kp9oPbeDXn1TjnscCXAfrpR8bN9jLoSO50H9O/
LKzUTN3EuOXGL8hY5XoZDOpLS14z5n52H29ipwGkdZVuRbzmpzls5vJu7hIlfneVSUCZVo+pf+eP
6xYcHNYGRBw7IHrZ39sgNvVvWiZTITPlbdV8LrlBF5mbh92dcvU8n6QebKxxGwwlr+PBKnSRJh1+
Pd4uJFYrv8cK8JJq40Rm8+O0F2uClU9d+mQTCH9o51vfkMJ4W7YXN/itW6Yc4o+3YRiVrrJLwqdu
qvgocNOstWnSWSeLOOomqfWp6RbfPQ1xMPnnZtABCnF7SOqDCKHHpT4JWbBuLLJFd4YgK7vIrDIp
yl9xZFRxJ+A4uqkJOhzoilGRj2AvOPqmk1XSX3S9bbufLjYcGS7gFKai9Qb3ELiraDJvgPp4WPTg
+btxxfFqTOtirpLM9puO/nhTOTYK6142H3qn9C6npMnLjFgiu0gDZ2nvYYDXOjWLU38uZ5jfu0HN
gXX0YDTek1pfeKk7WETWK+XOX2zjzCpt0QL6GamV65ke3YLqQEaanlW15EVWNaF3v7V6+ko3fzW7
xbccmXIXyvVVL5Jwy5C0LPA8Khy593heYG0URnML/yx3+fP22hY/uwCLlZ1IVNGftsC0N15TdXXm
aTFcz5Zjl7c5GoBtb1Re3iv2PQYOSu2n4EKtK1PjNmHMgUX/bzf3Y0s3IuL/3XX1QnEQ1REsM1WC
qe5qiSEfBkDky5K3N032d9FMxBKXcyJFSqlIHliSR8I74HavkmOMAUaQrlMv4iyaB3ZmKcaS+Gpn
mbZdbi/b/CS6eR2PVdWZ9Selo+undPja+ndprTWMEX8c12M+IQfTdwW5pM3BFGY1VrrifT1+jft2
tqODMf3F5bXNA7kfp3Bt96NDSu9PR0n7m5Do99007sftbK9yjdMQ/jXrqqqraG9L3VvphpyH9NI6
dufrfgrqk50HVX+l5LrEqYM72vLg2KttU38Hm8gKO+/NPuRGJ6+3WW/6qPXozhS20dIx1evZz6qi
S0rMOBLAWSJwDCIaR60jnjAxFtT9VJosGfrA2atKUpel3KZlccdm7DR3LmmZzUM1905/v+G4Hu1r
b5AD+qlYf8SwL29PMPWic4XbtCDaoRLm6FeAbDcJ3/HotyZgbvhUvXvMRHXzMISb5+1LMcZXU22Z
35GA5qjHS13at1V/1wSd/NIS+zSl0WhTooyahgNE3bUL09irIKNGxmt/smrmnwEaDDt1RyPCG2Fm
sewHuwv/hPFSTMT9rGN35TVD9Ecpfyqzgs3zZpBYvGVF2EDb7ihwu50TDG2V6THpPq5sE4/+NM4I
HKEOck53VZ/fEcfkyXRaGpxeolG5ZYa7ifuoRVUPKeXx8MF0nG7nqXQ5aUWP7f8V57DEybDsqWJn
WVzcx6KNHxETJ6Zvk7gqbhtxMZGS0lJNypY6kqRsjX1mwb6evseiax7Yy2NDk7vvPuumAdRjJZQf
cxHwly4hksydhtFLZaasTe7XusIiTBVJYO/DeePxU5I0JyQHa5TSWkZr1zRJTwzCZHEdw5st2U1j
0CKF1rn9UFZ1UFNWOSuHcTwN14VWdvcFeG76kefjAOtQOUJesSajo7VAPfoWlm1R0u/u6jqtOWU+
K1Ursrl1YKYsKVpppxR41fc5HElEHJNepK6C8f5kQpLrbyZfWNUOFHier1q9iJ+KSAh+MKJBSK9e
Ga+n2WcX6OohWQ5jJFV7FVaROTeSr/U45HF54yh2xv0mXeNcsTTz/gzaMXSpP9qFdbMuZpww/6eF
cGjGXjpHK6nCkcJhVt5+jhLRfZ0IC+q/Oqsd9ilWbH39ee2sMNlZZvDrtKn7EYuS3ktyKE7j/KOw
Wvgd3HzqysdufxHRTifUd+DXLgUuZhKuOai6XeOrUnqEu3SitOVXTDW3OC2iKv/qsrfiuUFs9ye/
nstvdmPWLzEx5p/HLervtk6YH7S36vYcs3XotFLM5MztAtUd86HsP0XlnAOBVgxej9/P/MNaIm9N
PQnFew3H+PNYhok6FfOU/Izz2UzHoMiV/5jI2g/24+b6/+SWo8MsqfsgPrONs6UGFZWqNE3r3JBz
OtyUIUVVykERw3Idhf2oOi7sJ+xvHO+uXOU8nVaisdlkonzob9vJLM1p9UXtfOrMIuSHxqHevRGq
Il+r07WAMKCsK76k/sc3BLYdfWtY+w8dhal34y/+8qeEmikz2SIJTv344kXWxMM07JahbqJ0DiC+
3JZVi+jcwS7Ruc/d2GpwmAviXzaZaU/krJr5DJhRuelat719u9g0eteqwXM6sPxYHdXk5ZRic9Ae
O69fi1M12NUHS3Urga69O6+nKXbyQwkkM9/0ax2cQ+UMwa5YXWNfd4zOmtYXt71jr53+TPM1rM9F
73lPXjG2FBfe3MCol7H3xbHNIA7zAHCbWjNI4kX104IRTJ7b8HSIqCmqbC4VQ5Por8uaj/VuDJij
tbBzdz+6jniEN+r1O85M63qUo6yzNfKkx+zmwSl2HvK325HGsaMxiW96UrbVQmk7+98CrZvu7EqB
V1EeEjiIxIM0KXJ4tfdBT0t8kC5W3MfAdG6bSmnqea+SnNdTHZMpYwdlc6P+0/84fln12TAqy07j
Iq5+D7XcSAMPQ31Vrfi46bR1Cg/suLRsfdMO+SBTf5mBijzCmjhQhrofDvYGpeLIJW/GeTK2TEl8
ptOP83VQqXi4cwOr0SdrpJWQ2r6M2EyQZcnbdl7ba9fUwfVWk8CZ2mDVzkM9TKM5AHq5wUHRWv/i
6cTddmONbefBBikoyNroZ5PBvcWIJCcO7ndPBtmQYhhoOUeWtescFTVKd9I+TrBnvzBbdV1vesrT
FT2Wn7YzZsncAUn73MV8o/E0emV0XDY8/zN2HQdpBc5JwaHIl5IEFo4Nc4u5ppr3fTK4y+fZok7c
G37OnpoV/XoBh2LYKeE1JfgbFx3WaFIEmJmR/LqbePSYVlYUfSycvI/IOCm6Mi2GBaQlLosRuVHT
50SxNN14X1l9S/gRcm1575dbdGrstpYZuJXzgU28/QrJoSSyS/v9z9Lyu6t4cSHhWl1lN2exUidi
1hisYVY3xn+s0Ux959fWNnonJ5mONRjFNyxAvKeO1aeOrTuO7R5fnOBLn2zVmHreKm9nn8Ppzzrb
/icMrp1pDxO/vlsKFRtuJCHYDxDa9h2hjz+lvtJuuVtr165uLMlgpaUa1rMYvGnAGtN1Hpa6sa1T
KUWU3wR0A5YMh+fwukd90mRDXyXiAJ/Ne4w7SybwjomYTMPQyiWXvn+/rVkT6xconRAfTeyI6T7y
G5stb/ELwr79KW6zRTrTx4BN4rdRVKo7TMW64Oy1k/pkS1zO9wLme7KPOW4cdv9Y3Wi0icx81smx
0QmxnUPfLD+NG61DNrelNx4cf20vci3f3M+jmNqzQuk4p5yf3ufOCUyRxd1S5idv8/MH4w6a5WRb
1MirZY/ZoEpMlHAJRaVDLheqAm/WhSajYB49PmvBZ1tyE93DaAY7ZPrMhIeNEFmyDXrlaVWY1aSu
gC6/171ty8xvEK1QjS097g3NsP1QEG7Frs5bcvGqaKiADbu5fMSYniQUlVNAn3AgBsdpgql5mAWi
tgNorXySQQO1DDLiLHfomOhvVqWMf3G30efI4v6YgiWIY1e5YA/J3A7Lzzlxx+kwTLYnrvugkNYP
k2zen0QSd76b2tK/yWUrfsUAw82+3lb/07Lk1dm4edHuKRlI8QnWsunSGAjxj9cAnu1LMiMVBNtp
xZ2iz+nGp3z9ZnmUg6vNYUbApDLDTnH2KabbPcpC/ynJB03DrrSmz4nX60cdcvS0GzgRuS/SeRq2
UvlXnRbtg97W3H4MKQqWg2WvNDc3tAKENhBTdd+iTmhTttb+3jJcHvf+KPtzTBPQ3WlDDXkb6M4c
V0wAuScYp+32blnPX1y4z9MZe9b2TrRTThBLEczq6FhTe4r14FZX3YVAwiUn6AbArnagdOKMQBmd
r90vksL1BuQsSRxXs0c5v5JVWaZdaOY829xYE37NDSVtSLz4YIVVyX1Qx/btGHAC7COyqH5Qm7Yk
Xs1c3TLye4lbwNJIfxVJHnzA2bDujkUT+Z9k7APWqTCsSZ+OtgQYeIjrH4uqLp/aNcE+tHT/7dL2
KHfC9LWPWnAxD73fcYXDwwLrXWPnpUonU4wfkLgS4NSt0cJCEF10iFefzC0VjkkBlcLMe1Mv4XS3
xBYVE9nNzS1lzVZlU1W5KtNRuDppAnT+NBRmXD43Y9MxTKa1p482F7BvGL/GZic8fwzuxFYtNz6G
MAGrAXF5zZYnfC9tSmn+tANttuO2SXGHYiw0dAPcuLr3qpAJB9gs0tqtL8V0sY7DseinaU8pB93O
9bp+Org4d3+cYZT110FR5aeJE+XjYHr3ZnCHTUNTXgYYwl2SmwcrKclbGvrOTTV4JsZDtiXc22Kx
gp+Ag4E4c48Pbs04hMVpNSMyS9Rf3ndo8s3PnB0LFBuN2w1hSdWQUnBNn1uvai16ONZ6G66DxdLP
I/yUZ+I1vJ3fxdWUxXlh1ygrOtYnSzVZ95HFuwC86uhmi4vI3zuYjUNuLoLm3gkC8IktWdoRnsIU
2ymIk2+lbhmbJyHJJU7HbYNHkFse/ZjJIgVmMb4h4d0RokhBPVg83LTAQKk5Mf2NvMHElA80Ms4B
4VY2GKpx6xMgtfrIGU10ZbNBV92HpVHVTehMnDuaum28A6Hc6hs1JFx/8B12xblzitLLgtrd7vPa
dN/rMUIqo4iG2nmxtdp3/lQzbHjTVdauEXNrbnXndV9UQAX2ue3C+UerqiB4bD1vcjN7DhbnJh67
/mrTfqX265AXrKjcq3yw1D781TakQKU0zYbythT2ejtPE32UiVCxr25RRTUIJGZ6fb2aKJUITK5F
CFybdV2p74a8VstHqcjo3WMgIfvU9wpB5yYv6qtCN2X7KdkSd7l81hC//nUdvnnR2JVnxU3Y2ns4
+D+NWitmbOWL5KcnAeMKDUDzeV3b+AtiVH50RTYn/bAw13m2DHoZskuMjTiNnY70dRs3/cPGBN2u
PCHyT3HrSP+pH7po3JW0oPW3UNTyCtdBCDDG9joiwqRLchAmlokN6XFUM/USr8KO0mLFj3LESk45
MLF16ifLs27bCg7C7QVK/BHWXqixiAgpS5SYXJNtvS3XbFWB2vaWVXvfvWWerNSxkn5Kc63G6jCu
dNMy43vyM5BOYp1mIgV/Oj3tjDvhdfJXONv1/dwqD+Ue1FZ3N7sbws7G0avYRVUyPtCIR6kVFWVy
3nAOc5+aoKKZRNTmtmTYW0TJF00XrTmBKGt1838cncl2nDgUhp+Ic5iHLUVNLtvlOXE2nDhOAAFC
TALx9P1VrzuduMog3fuPcRWOr00La/Y1+vMsdsqZOg76sDUZDdy4WgPDAp7qbQ2Di5vwPp0KXRX+
fbWpW3Ftj7HwbEjobt7GshwqildNX0LwbMCpIwtesqtL7VV8i5EBzA7rxyVYfPmcLFP3L+BqUBii
bIfTtC2s4TTBE6pTPud8IO79ka8GGVlwQn4SmV03BNXJWLnfZQnpVjcKKc8vUD4B+0AlkwcidMIK
vVkiiEJI+v6f57NxZJ4cZ4Q/2xxuNxdK94wRZ732ohnWnSLwMOcGVbRehFBUoN8cqnNWxJ17uim/
yP9X0Vw9QbmSVwZpnv+x2dgJ6WgjC3Z3CodtF4fO8FiFExBv6VTbb+hfKMJ8nYM8JY2USQU9KTPr
LYDy0oW6806jqsWPME44OVqxFX/GtsvbPTs3f3hB2EsQLt68LVUz6PlBtHH+vYXt8NeveobtpXYq
5nQZPFNlXvePPaEp82FUnrVnnLTKQ1/1cnoO9KJODvPdBvrYBF1almxMB7D3QFHnRhQ+0FdrXj2N
UvqlZ//uj3pdrI+kmQxhQ7pPnCNZ3r0612TEj2ltl+tTDOsi9pO7UU/Nnm4Wsko2VhbQpMnee/hU
HIRko2N+embtIRMTubKcxg1mgHVQYt1t0Wq/zOUa/Z770hG77f/nQ2ICabIVYTUc+LY4NfnkbvLT
HrbSgckYmz/SyYmD7qwOa2fZ2uFRx6OoMv5K8Vr0Vu+8JpKikXRxx2Y8JEPvjYQJRQaEZ/ZuRU9y
DcIDdJkvgPltjBELMq0tDbpcyTvoJ1IR8yFYh0OsKt/O6qIrzENO7OZ18wxSHA4n+58co+a+Qew9
HxtbzFlOCWi4FxwpNyiy7Rs0K7zmZYLZaqeGxRVkk3lAWGqe4vs6iJV19pTTiT2VQFI9sHoWc8q+
zyLvtWGdweat6i6pY+hnl9UUrjp2dbfXXAIAyIUFMEeu3O/B82pY31hOal9Kt2dTmV3VplKr9ZPU
hZF7b/WaI7LPgg7ZvvWrU1IVYrzz4Tf5HpzbA9uotcjCgtHrHKC+rXZetICPjV1OYhE4CikEZIpJ
n2w1N+zIxCiTNa27MnHvqJNCPIHznZfekjh/9k0/q8e+ruAj0ZbQXM5ioj6Zn4VJWdSbMHUiRrJM
okd9kdWYxxexRGxB1hjQ50AEt3fAhNMO2SajRdwHQa/afVLkMQBKsBaXJLFqc2/porrvxgVH1DC5
UHj+WuLgH4t+7k5cU/Z757b238A1VFSUN4UqSE7Xtndh41Btuln5Wu/+z9faj4U3HnJdS/m5yoYh
XteB/ThOBT2H4Sqx2/ru4ICvWmYc0hjftkkj6mTOJIXALPhL0Pgpms3yta78xjlMcw6XxXgzX6Cy
l/I4Oj603eYU/OliRIdzXulCoZPU+JNKNxKgBxhOo18KyKhxR3soXY9LruHivY0oRNNGojowMy9k
49qSJY49azknpr51Pvui7m+ZHduLrhH1ZwWOoPjUlDgwzhWZUB89/OTdsk2m23Vw9QUj07w0B6Ok
ZaUNy8St1MJR7y24yofczEaE2nKTKOg4bKYsr0YiiHCRi/7OgqB+7Rmb/He2wVE9+d7aR3/B3Utk
AlEFedMCCK1Zs5QOGA9aRKbeYum+qK8cFT7bEc8afpb8nLeC5LjR1H519px1pFgSUZqXwZrn5l9o
bfxBzRL0ilKjYV73KE1PEf9QFjf2SXKo4jKIOE9b456aRtWvouirX8UMj0xWS1cgWHASveHslOIv
nIYDwbDBxVUc52s8HsymJjcDK0AIwTyObBGuKiTXM5mSizTDCqxOCQgKqTZAU6Q7pb7YFBgFtjhq
/nTwZjpdK1CovdM6eruYuvb2JiYQFKOL22cBond1ZteYx31T4CzIcqCoO9e/qQ90yVm+Q35huOGC
coUpV4G0acT1t+HaGcIhwMYaJ0g7xdHWN2gOTnruOK/jIZRPqHl6/9l2+T39CtXWbKeZszxOR1uX
4auIlRvhNBNQ2CtpLeUjvAdnHcwyIJw70meI1ZegtbQA5uJtDRsJzNI6C8hb433AHHH1t5Moho9w
4dj/QZV7wwp6u/O53z2zm5NpfEPqn9f7WyRWScO5UD/6ZY7mh0rShHsGZYH1b///KJsdNz6/YGad
56LyEBusahM/jDJln9btiucuUYUgc5cydw8T9qbOdEa3w01qXcc7t8+JdhkJXvnpA2XwZCEOaXcr
tR/y4LQ+V1XEf/zdL0GwgKrH9lvYrdW3bUpaHxGd2F+UQ4blJR96euYg78Lp4Bil3pbBtH9j1Qzb
nlQnsdyruZ0Tes3inpxQrySWd5tJBr5znLH411pjXO7IjibIETOj/cIOhP58Au8u+O5ZsrQbo8QS
gTNxf48c6TtJ0cmyJxKu+DMjjXqbUNIvfADhhFns98CQg+9bbjYkslh+qWjsXrW1JIiUtrFoDqtv
XHQFZRVmbUc8PSkifU8oke0M6Ae2Ppkoz/O3srofm8hdU1GTtZV5xQh43wNN3m8IAVAWmTX410ea
mF+i1/t3etwGwkmG2Ly2oXKclLvHg7muiVO83xRHYhZtU7jdTcDD+UM/jED8Y79a0V6RaLn8mrW0
/Z0Ww2w/QL87/d6XRLftXStvrvEo3RWkquEWy8d508/hYoVhNgxm6e/EajEyDPXgP4S5N5s9UVc0
d2/0Tdp7jjdlp2Uc0EXTQ9fsu1gNWzaVSNxu+Ky5l/HohAdttONjheqV2UuqKUN4PtN8WBp5IBDB
zHdeLygAn/MqSjiwZxVecuaE19zzEXx5CbJVDU6D4STvw+WQJEN0ZQzpPiG8vOExHmtxmmx3XU5d
z19NOEZTPzp+p8kw65W6WrKO/oVbw5QA4UpdPDy8fx0YfT8hC7ogxR+DwIYgcIJCe7VGcRqUCCDO
uQ/CZBVEWv+tvXIzqUAdAju60OicMWUifRk3KBDVjn6173upbRJjSfMK7ELEEB42K1OK7oYZ1FZI
v/czJGCV0qQzMYk2kDV7GbQFCjDo/Jces1GwmxZv/M4Nx9hFTMgzstxpHJ2p2ybJKitmBuu8qK7z
uLbDW1Wj97u3aOB7u4lKtzT2zXYKQZXHT9bZ8QuqtvUepyZf2wzVTB7sLSbX+62DR905i7XdV+O6
+il6iCRIS/D9+Z5gqOG1DAK6xHiSOYLMFHD8xTpQj90WmvamvzBNqhfT/grbOajvuM+CryWfq0dD
gM5bMvYhaeMmQO2OXKJ+J99fUx5qg7iiZLLjJzB+f6LZk4snVUOZkNU3h/p7q3wgeRJ6iu3UuGX9
QAduhUoKLh9gYxiRQ8R9E98xpHtlVjowIJkJi/Zt0XSKH1BED/ZVlJqTh11y+JZmFdd2yKkShVUu
WcTypj44E40sEIggsT+MbKcx1VbNPswwbx67ZVuGP0G3rdfZ9XR8ZLjPnf2UTzpBw2glvzZVByyE
5P2DKqEqcv5EHlrBfa297njrysCf1nolo9+SJOWOo2gZL8Ir1gn2gJi7nQ4r76qsYP7NtbsYOmO8
bt27k9P9KMRGM3kyku95kom9FneqnkcYz75NHh01h/7O5DHUMkFgjXsqkkm+s3u3UNJrVVw5BPoo
K9H4fikTiU9PF4DxN3Dsh9/25ZvIOy/aFWBGfGaye3gY6zo+5DE9E/tos4v3xi470iInJEeoh5q8
QCTXcaAW69i/QH0kab50HZxuN3qATyOqVsaHuPzZzFUz7us4UW95lXMooBgInhDHIuRy+HzP7Rgk
AUdFIdp0Hnp/fJhbq/gEYK1KeruqjmDRRHHMhkU93nn+tprd2lWkOhKYt/4F1cO4SWT/1uxmAcG9
JxKN8FinD5PhtotE9ks9N52LXG2lCHtzrfZxS2rv54y/wr3TsbPcsbS53GncKvro+pu3PdeAX79F
bGi5V3PEVsGaWYSHatbRx0ZitHhcq80t2GAb+RkYK5r3a8hXwhlbbWwl1djZ+8hEE8BP2Yj5JOak
w0JbeMUZLFrIg6Si/BJ6KI/hxBuu1MYYUP5ta9zf1uon1rFomoKPk/TugwBktnhKl0FlWxl7/DvG
dX+a0WvCI7r+5eSyBNzW/aF/ihfLLfdjEPBkxoiwPkmJAxZdCk8iHW/Kl2qIimLXz3Pwpw0jFEct
1XzvTiud16q2tIVKLiTcZ0molt31EaPHwWqn4DPSU/Onqhz9QUYG7vOw4+tlTrM2ECyR6HQOou2f
RmoyH92wt9ja5OzdN2gGf1ao+PrDAo0Toe640c6QctTbOz1eOgTeTG2V9JXZIc4qGIulai5THi1y
N4yuePdzzzG7hTQZ67i1N8qf7h/93KKNgjvJo+YDBY/foUZw+KLcKgygjNkjnqpgKqhyrZLlt7YF
pw0JTvF9bqOwPCxmiZcUrLb4zOvZRkVrBQ5pU17TmtQSMO8Mj8RKqaJSYg9G2v5sETIizZqchr4h
vyNxZrzl6pwASEdOeWd0QQ1F8ZzzWCMuryyAinGQMZIWP5RkXM+eeypnx5an3gnWawilIXYTYp8o
JTtlFSlBM8NwixOJdFoEBtLF9gFen6I6t16QSyHKKMZJvGsNRydTzdZ6R1JCLdFXLRWiZwzdrEyM
ihBHlvKPRFn7JpuGKOn5CwvkdOgfui3tEBFPaTnkivLicYAwTEzps0voQv9KyKD6I/w8+oseKLrQ
tgSQ7CzM9eh0qjDJ4mQup33hra57jPgO3qKkcv09Irj5PJOWMz3StFX/WXqrtB8RYwT6buzWZr6W
joqf4Ts7uVN6cJ/EQgbZne6c9pdE9I3kyrfpjmutZX6kwDBc0nr2qntEJlOfskVaHzCEJbpjhOo7
V4XcFO7SNs+dsqKvheTc5A9iQ286CFTnPnzmIh4QzAM+qtlPvjsdAyt5KMv2A5ZSqj/cuqt2sZ58
61QbLTb0q2aTd8GUr+uxHZ22zQbUhf49ZEj+NMfw/4d1kAoY3ity+7COAnLf6vua2gKPwuiWrfXV
Rv/aHFgswsNgSns93LpIcIhsKtYo1maIxRrSTe7XGCnIi+7n9bMYO32dw7hQhzmfewiCcOhznIQ2
bHod+D5IgLa8gQBBN7gUC9K/1B6TjrD/htPnY5F+PXwR6849Z9peWNmGrK1+8GIj+5egrZY1tRXD
AsJ9XTvpXK9zFvYsubcCnMpJwwlGm/RvdBcH7LURTIwKmscivrV7IoqzD7SluPgg5slcCqk56kmE
QBo2dG3xXWGMDhm6gWcuPBfeXi6SsxACVrnojnuucMLfG0PqdtB/LW6M5yjvlsHfhRjWAX1iPZfc
Gn3dvzuTC6zDogq7uNy8BkjJ+6k9UlnX1aecxuuXgu7d+n7wq1kyU4vlgsZFfRhC1C+mKTwHwKri
WLN7LJFQUmZZncz3ltjZWyqJ/Id4Xmx5nJx5kSfVVbbJ5MQkDNIEEJw6tCJxYeOeO/UBMm4Mxl6N
MKtz6i+WIh9z0eAs496p0L4gxS/pWUVpWV6CxoITKqNS8CTE3vrQSnLc9gjR5N6uwq5j3Y0VP0qz
Dp/+aND7KN1258RVsMo8EfDhC7+N8XlUBULMofHVQ6K4LdLCMmWYIhwd8musnQrBUG785KlMqLnZ
1zO9BA+RZhfaUd6ReOepKVrJuBE2OivXkG20Rrx0D93cdUc22Pk5mH30aYWP4Tp18tgdzhxb48Sq
1nV/4whgC9H9NHGQb0ksdwFqpvwQUGiE7qSxO+c8g07Q+hBzkmiawN6Gqqm/owiebE9ZGi9v1I/z
TwuY3eM0ZOFLUWEW5tAhNaORTgmyrGpHN+9uVS7loa092yFnkct1b5UqgJju9cJNI4tN7EKh4o8N
5QQDeRKWoB9iRdq/oBtgn+gQ5lbIc4HM8hn+v4ztOjM6b4PdEhh9JeVBrXvc6dWw27bZQBDoSTYP
EvJIpVXiii6rN2ph043vfeW9rs2aQb6ixZis0DpqTjV9GCnKKQ/l5t80BuuSP/qrVqDTlirztLcX
/YOI6+F56YaJtZGi02qnkN4HUJYYZdKgrat159Vzu50XnmbA3NbkPwP+ySfPi6bXdqQrai/5ImAM
I43QeGiiQd15ICUPIFkzmaL+LWHB5eq4DstWi0NcqogYf1OtWHBQPw67YrVtkd18/NCmnJpfEaYB
bx+qaakJcnYF6/i80pcTd5TOppXfIZ5NfA4FRIZ9zoqtEUX1aHBm4mZa8WrpKhrOcx7Y99KdY6A1
ByfjiO4R7CDovPBiR5iw8DYs4oXO9hGGLZLjZa11xEsNSvVV53YXHgCg+W95zaW6A5yYXifmjjz1
pqS6AigE8b5aA6++RoGaXxfp2esP4ZWFe56onky+pA7XczN6gwVZn5f2t4EpGx7lQCRWhvrdJ/Le
qZvpmLtrfXQR64u/Dv1U4T9b2WuXIgwgIFW4o0NjeNzbT1QiANSpbQxet8Fr24+QNXkAjq2G26O+
3R4ZZVqgd2uIj/yUnjnhhJjvGq8twlPoNS4i22hr9w6I2LrHpds2cE/kM54LbE4rn2eAbc8B7X4W
heRssVDW/5OFb3+TOYj4iHze8JrjYQJqNwUORgHUlBznBVh7N5NBM0HTNjMyclv4P0DPnGGviFNf
oWF18J1MCjsJsknU0w6C6M9JKftXPgxJ+DA0ept/LFx0P7lGtiTzQ2Lrdqg5CgWp04ZfOGOAaYcl
GKpHzcZa7IXTN2ZH5bcV82upl5OvoItQRJV1mMm+B/eQo7JfhxKO88gPgxKShUX9aJAEjxlorjvu
XdqYxJ5FoPk7YlcU/6wwl9+1RMFxFGPkTVlHYfBLUMG2iWFj//eATYIJqrk0HzaPNYXBFRXOuyTZ
tqtA5mvueLt79VGtESKudNGd/gVM0k9HH4J8ZUH1J6oIMfZM781cuOJlUgGZ+nMQoq33t6T9nbe+
c+8NCxBRHTG4Zm1MMnxeLKDJjrEdc0GC2Gw7sTXzyxRJjB7cncud9LUknN9qkUjCGPKuDonPiezN
DWfPME/hUxk2K1J2q4gfRq+b4tsDM8H02OEm6l3hDUn5sxWmECkjJG0MsDcO+UIVvw2yoIpLhaRw
OE866tGyjyELQR5L5lDKsgbGZNWaJbN8HCppPDuDYWLxmC34IdynFXZpOurKXt94uQZ9EmIS9rHg
4jvBlCGkmvrJfSDm1DFfGvog3/MlIxT1SadG6zTP6j6pCTbJnIh96LxiNfRR/FBrm67d6qIWE862
/Z58SgivLhVX+VHD0vn3am3jQyO06xxcolK/F9zqD0BNiLFXEKB9IG5MD1+vDWkcLf8fxUKXYM3d
/G+y4+29HpCyps4wV68+eVdLZjfjcLWMb7qjDBvgP2ktLWm8QQFG52286LR4oxfI6KLv1l3t+IH8
ktHYg0E6ff4PkKXGXOL2uj70I46RXV3xkDHh1MXPsrEh0ZhZl2TXyg28RUTgzruiQ7Bytxhworkd
QWlXR9jQDApcnr1QtM1JwGV5T4O1bFdMFrjLlik0l4YdnSvZnkpu7dEup3TDZc205reYKSvQxPBx
1Zg8cNtxIMS9a78gjFibzOF2jh60GmR/NjRYYi3zeST37FfrlZlU1KmowI1ZrHEjgv2Sc4yGK/Hm
DP2t7Wckt0VuVk+FfosFI/OdU5csSt5i5RfFfXm2vXD+ocYcTs6jdQQfv2gRoE0xJ8Uht1z7xzIw
oqWt6OfXAFfeE0548BOp8+bTmnT+ZgMhg8OZqe52fT8U32B7bFP1RAzJu81M8Mf2QFeB7pjkoVwb
89RvRvPQ15hjjrEt7TCruZuegV0C4O0Z++4xjvPg3XhCWu+J8HLG4TaKf3Sd2n52zI2oLLaKqUsH
K6EdtiRg2dI20sLBacfHhge12UcFFkj2siWs7otiNHBG/EyAEhSW3oGSBPbBn2N7fm+CNirOdjMV
t99PW2IZKVePAZbJDlIk8Chx7qPqFTAyr06kSpSf2GPsFRxODvCHAZalA2eElFfZ2sEj3TkV+lGi
Ct/aWlo/+dVIs0Mm1753N05313lF9FdTk/yvG2zG+9lTXpBNWzw037OcRHA7Qd2lgzRW9vvgUsJ3
h7Z5k6/w70HByTPFYDeCeKrvgTcTpi4Pe8ZfUToMarXt7ogj0wiyjEVjvI7r+pJH2ltfkN56d/NA
WiPBcSgLTlIqqz+5I0A802s8+wdQhArF+IJiCCpVJDDSg/812V7DPUNaFpFu5TI9EYCEy1NgS38b
K9v+442FuRsLpwbUbODOkQhu6xPWX/WMXK3ogDXIl3n2S79/rzrX+pjbZvB2M3PH1RltKz+p0bIe
0Hjm07sr8d1lBJXqE733gNhWq8ULU6LX8+srtJti8LYvcd9FyHITnqDUBX0iMiBY7VPUzlF39KrC
9Eff9HrdF2JGHhqrKRBPCT2l1afXJUNyBRhY9cMwMFxmag2PiUWaxzS7v/xNuK/QOvbIzD2a4Fjm
tludRowN3Y3scv9RqpGDoSoxPQOP1eUJUWN1rc2myyfAh7hMqy1c/pLvz/FU4lZfrZSYvmo++JUT
deB0stp2Yx5xQ0uJO2yn/MqPjmYFaDoFbRCpfWM8/9hOlKUfyoI+jU+X6MiSkCwxwDkLtGPgW0AB
2WxiXN4oHFgRM7N0ZX1u1Nz/5egu3jZvsvTeaQRUlfJGfDKCduZ/FlP4Bdm8WS5dxNa786uFkLfZ
2bz94qqgzvo2FvFhIwISN8UKYt/UfK80pnADB4FpNTRv62B0dXLHO+NUr36gIYlrTJYxXCEDUN6/
WcaSX3g2oH8UwCjBAGZWHkaRAZ9n1XXdpSl6h5SmiULD4zLi1f4grXuZoMLAsOHuuypkiA98BuXG
IA9qfdpTENxNfwrQ85WVXdboyzEtA4+7FuJEPAZIcnvH5UcZ1rg6UEygApTXOinAymx8Woyj80+I
xeaXxyXg8ICxUCNCFsUh6InFvSkEojdoiPJxxZRTprLp/e4YBwrxrQ43D+o7Vv69w2T+z5WRcQ5b
DL+Q9gTF/BlZ78sz5Fz9160CVImF1vqLQ0StaOwZQw/Y5LrflVNFMT4XDp0Uj5s7pGbDEJs17IU4
eQKZQyz7SfQLm2xLLkjVxg5MUtt9RRGe6QG8NdoJBr5LXkwxlWiDP/xhFEBD1i1+kJByITt59lBK
vEhK6nkpm3UNwCnr7p+e7fjTn7E8EIwEqesWK+99YvncjGocVXwcjI2ktQjl+gWtLfoT4rnwEf95
Za7bhPTkxDIPwUjo/Dbjopzsb3xngGP4FIq71sZLghDSaZrdWnqrs8fAiikzmsL44oC+NYdmS7Aa
kkCAxs93Yvev2pzoxzyo+RGeFohcxlK/T7zHLW952F4wwyB2kzMuKdF6cBa2qavrMnq+fTBj4XOU
FANK+xJx950VcONktIUNVxLC1VdcOf4/o/r6shn8ANBlfgejh+nxH8Vu3pvHXgpbSu2RdaiiifKt
WoMyup7c2kzP5H+jVywQ3/ADstsimdieeKuHPygeif8fJUzUqXZUeGIAIEhBdhZuJGuU6BBJixRZ
2Xtu8JmwRs2ZKALp7nyZlObkTZurz0tTyzsZ2FW5KywZ+Se4767dFUQNEh/R2dv4M6ANwzkjJ4d3
J92gRbyEYG5ECsKDny6RXO/Z8qrkzmFFGh80EuTnbvXbkCSCtuI+j5lt97FNJF8qhDYP3nKDYByx
JFG2jL7PX2JFsv5VbfhYjgDjPOZx7VjDC5lEfrfzc5FcSsu6AW55KK4BfYp/bUQkNv97FV3sMi5+
sQkkWxoteROeiWqTzUU1oNkvTtVb1VluQ7VlOYp+BK5SOkBE2FwiIVT9NNSLcFJgmu5XmyTQTr6U
sIiLQwPhfiocXWY1bvNHTKDYFVkrfcza4bLe47GEe48YPNxUue2MJHWOCKYc69ZfM9dZ64BLk7LS
nRpnfe/mY/XtxpPffUbl6vxe4YWkyOy2z+Ue71H5GANvNcelMwmqPgoQkt3EQX1FjOG5f3if2vzS
lp37yDlZcjh3wTLddxwIGBobPp9z3wCteXc1QVTiHMAJXpdy0r8j1EjfNrvky0S2or9fNzH+jMeq
0PvSn+TyIhF8ZyW2W1z7Pa2LMp6j5I6yzOJkd+0C61kM5b5yyQrOIhTVxcHL/bg9g7nKntbthNOX
n39YGbeW+n1ORnu6NnUlLhHPjoG36sEack3txXEGBCYwqqmbnYOiHk8egfAfznITPqJET95ljI83
DZeo/1Xo0r9x0ILSsS6kBm+XwCJXqR/Uxe9OQsmgngD7pE8DuiLjUllfOxHyflUCO2Zqca4N51zk
+mfAvPpUOE3H9OC7y3fgDMvbKijfYMicvUOCReuXGKqxzRCPWSdbjvXveJhYyGtPTilslkuGOtJl
LyshsfUh96uyyyhvtn+ieOp+W4EYLzwRPTdiKaKXVlV2fnEpPrgQa7J65yImjfuAchZLJDFB8wtp
yGrLMO5hSFHkieQXtickN1EL4Z8aiIcxHdxw9tiDuuATUi4pTw6PPVdgHbUfwEijvi+Q5zWHkKJR
TdyjLf8xuAceRQWJa3NLuaTO43aI/dPABoSNbuw7LCHuWrg7IW5qta4STntP+pxeDnUyeTC4sume
W1hIoCFHxMj61zzYHqRghGaemUPvLHs36Zha3Do/mACgYr9EjnsgsytmL4aDQByXt/2uxu5La2c9
GVyexrXOy8KAsl8m6KnUBh9BUUBhBUETeunYtkhKGi6TvgnCXZfbhiTpMUJOlWMDQ58prpTKwmV5
Yh2Iolk0TWktDZ0Hcrk37tqG3JeUyLnh17KMzVs+StPeNUaa61jn8yNzMGSl57sG2eTo9/c5ulEs
1lY+MoR71nx1cfq7+KoCfRlll2wfuP+3x8ieVMnq76KcZpgdANy2GCM5r8TLGhGEdLDCjSxgvpU4
IuKFU+hOxNz2x2Bqm+VgQTVy2SKkE3tyDNornb+8tFx9/gu7si9PuSLVhAyuXv4cmjy6bA7Hfcpg
2370nmgfNLHLXVY0+XRgC4sxsgHynBl0UTDVXUeSPu1l8SFgDA9ZcLsQ2jqK+u1bdT6qCbUFfTZV
ef5IoMlU3AMVBqXYDa2d8LF6/WHVRXCnMHnzrUKhHdfG+Ho/IiKc0w64FGC+itz2210oGLjMAsOb
Tq3KX7sfDRErf9reQz1mTc7q4mkn8n7RfrCmsvO66MBIx/AjCBGoU7IJe+iy2qBLhKB3in2rc/vS
OeHNKoTRTyCotzxkCDfV465ekZ3jgXN9UNqJpMF0UKsJsugGwwDM+Dn+OXzqW9qjRJoeLYNW5Krq
KPxSk/LQ6DMgDPvNXxP7Bzeciu9Wivc2qHMO37RcuwF72Bpa6CECsd2FNXyMTK1FT9ZB9UyE2WT3
nOASTefOxttf7BLki9iHuRt3axXrR/DyhBerZ647DDU+1VuC+epdkFNRLg440CM5rMTwnYfzVLyj
HC3HQ8BzlO+mriddKIbdwtxfzwPOWwyE5dOcu+oFGZHGD8suGO/I6kj++Msc1+eoK/V3u5ryYY51
SKiPaoOr5QWB+7smBwl1dIlSJVWwG3N2G9pZCsoa4+GgTbiQGLDcXGSmCJ9DmyoALnVLAYS68zg+
tzXuef4xiW0sDtdq3MdV77/kNyssE7ftt3t2WB938og0AwdT2dnPiCuQxmm76B5vvqPz2iL1AFpp
QTjaocTe1CdVP7J6y6g6Mjbha/BC8xoq8lF/mQIHmNZJ3D6Zzi/luczLQf5dLFD/FAsF5H73H2dn
shu3km7rVymc8SZukEEGyYNz7yD7TMlqLMuyPSHcsu+CPZ/+fNx3spVKSNAu1KhQUJhJRvf/a32L
PnVzQJ/rfkDP3tIZqy28DT5lNcpAgc/Mz5EO3tP952CjrQ7ujwLI86Rd3CMrOTnTJ2rh9r3u9Pgj
pgv6VQVzJW9kmszAbLgBU5ypipxTgJv9McNw+i3o4QSrdu6ah5R/0FIVofu7SSPcidzFYvGlKd3A
kisiWjymZsLT9rTMqtynUdqWDqJ9zkm0b8EdrxOQGXQkqGRszZDwoAjRbrvDOSRO4azMuNyzZujo
xFKyJMIhYlZbCx0hu6aQ8w80Rf28IYDZ805pSglybdt6vKpz9q9taqVhDZzKKuWDyupIn7wi6L6X
dD7wQgFU+bw4WmNQCvF4w4rIecuN2Zx3OsopO+uG2zq0DXQWW9RWUf4tMirW3E4k2j8mzWDeRxPY
xYPJvAlX4ZT2N0bnT93aB73AJcNpOPk3te76Nfd6rKP0BAasmybwYbT+ZfHbjEAOrnI/ddqtLMiq
AuUd4gvjSQLKX5YKr1tEX19dGho0BeII8rjdupG/CWGlxOskTca7ksSAJyOf5uZTK/lC+EqZ8ahC
q7x75AKfdE+uQpqOBXZuHw0wPU+Uehbvfh2Vd0GY8jS0SbtryBw1ITpElVUrv2idB7iEMAiGOJnZ
Fbjco4fEeOCt/UR4t77ZagzgI2rfnr5BXDbXtis9lBpm2N7JwFV6Z8KoeCKMUn3n55bOwQ5mwYW9
wbe6Ezod1QGJbXIySR8t17JxTIpmFAcAQ7WofdczMfM0wLn2eh/8bOQ63Jcef3ZSavKu6nIarssw
rJvTEAcuHTQPTMyaIpJHaYTKAxZY/hdKRPToyx0+AFxCPdlT8RoLSIeLKxXzsOEEC7ojmixm29SH
gb1JmwiBbqdDJACUUjmyVmCT0QrASzO3I36gPWqLWm0NrHwcCqjyiQ0GSytfzYWNmVyWlrivmwAn
NktkucX7GhnrrkOjsI6bebbwEXmJPgyDYn1JsjJMfubcrVqYO0TOrvppqL5G0+yXB7R9tlqJtg4/
xaoPH3tM8PQuHb91tmFc6O+Uqvi9vChtvjaZEHSHMJW4K3xE+pq2PF2BVk+AuCw5Rt4eb2H9M+3A
VAPz8KZg1cUFvo8Ap+i068p+uJ/JmA1WokCxC/MkTx+gyszmHjw7hrRA8RpOWdBbQ8a6Jha8MfS5
DF2S4Zw83MHVKc5cEAQFp/lmz609eZgalvd1iIat5Q9QSt66WPmHXVYAXVl5MTC4jYz84KHLRWLe
mmWujqgBungNZyfcQWBOs8NURG18heiODa1BySpOPlDbckXnrMWf4cMPRJSk9nQjtb42AayZa0/3
5admsP1PJiZqe6eZOIvpvTT2XRXX4Z7Pc1nlO0OzSndVuqOr26EeGi33qVE5MsNmNBAw9TZz0u8s
ez/UHXqNLLZyb9+XTac2A5bS3dKuxeeC/XSpUNqUQjE4imo3toP30dAloo/YLtps46PV/zpB7nI3
GVrhjyjR6TYFOI6RohPdqFddZTk5QJQIDfOoNZ4eg06Jj8gUWxbHr5iL2uigIMReNMJlW8SEUW3W
yaoFx/arZ099HMsZ1gACJKu+HRjrxpzxT2yBZxgh42bNYcIyZVxRopVqPeJCH5Dmps4xwKDabbIi
omDKyjH4K9xrf6/BtRff5YlF4bOmO7Uy6TUGV8PUFWLXZRZMBPg40v7duLZ349WtHmjHQ89BM5c0
lbnCveyKdRz43T0vr89oZhTlD58c4C8Vgh735MogEQdQyZPPsdmyims5drNitjnWN+xd7md2+NTc
dig+ue3Gpv/D1Ib5AByA229TDtQ5cpS9GuPiL79uZmudg5PpTnMQmuGeIrb/u1JVFR1NKULA5xTh
jfUgu2re1gQQjddAJ2S84UDFOTgve/0068COVtrwSgzMRmQiYPEczuwpGoz+aKq8Zfr4WT7uZImJ
YFOFVPe3yoHqAW+P4F26/4HhPkBqwHyhQtS3u5nSIkU9Z7SPJiXgikaMDXjNgaV46kj8dtbwxuAc
jGMzEuonbI8lBMHifVKPiU0/uqPOHSETvpIexnZ4sEzRTULHCHCfZYzfIawEj1IZRXzATWb9oFkE
mJPj2QCGs7Os7UTtzVwrr2lK+lwO5uG0T+HNRfhk2MtFT+CU0y8MaoTDHPhc9N7FCgRw8cfG3lWe
XIez2TrJ2fq3pH25C8UvwqfJvPK59MMf6R45bPGWSgIb5409uWbyVdSqGRGtVQBRwmjO76RPJOR+
5BTMF05dIP8Io7OkVjnb1BJSloUvRobm/IA8toEnmbsUFEkfKdBhF5YK8Bq7gpc+mPzUt5mmNXHk
YEJyOrepMT0h2hFLYnSfgh51ssjD1+sBTsCUTftvzmt2chaLeb5ys67AK5LPmXeDdbYtbihAq69u
TUvukwEFxttO1O0Y0EDWBdhirrBGySyZ9wqHKrWyLg7rHz6yx1OOeWu6RuYm5r0c8A3ve0/r/pZ+
anDblSr9IYq2iT8iAke3yDc4UaLEacwtopbEmIiud9xvkpJ/csIxFyebJg85UaS8wBKDp4UUrG7K
1jhFViA+pxPxnYe0G5NPomxBHPRlOWAjSEN8Qp4XZ1f8MP2d35RlvGX7KfMfScOZZ9sY8VzvOyee
PqAnBz0+mVp9iVLkhSPzm2kb6iZCAuuG422xqCupQHkfBXgq7L6WTHY11f6BlgsNhI9FqBBf4CNI
u+vUl6O7E0Ze7GfBDQiPrqhBUvA2rkyz6us1PDRfbfvE7r1dD0sVvb4DrR/bRdIVx0F6+iv0z4oW
haR/dShGyJDboeFic0iAQmynxG/LW99piy9OPKdPHshA7kBmMH2a5iQpr60ROd2WY41nbUML/fIm
HOcw2LTehAozAsjE3AjRalFZNukUcRGkvz96FjLCnLDqCHzQfDUCEOr2pR+m9prfL+3x9oYjH2up
i4+ZkQzGI/Ji0nf9hKy2a5dMzGCL+jjy6ZkJLknmMBTZgTtcqj80Rt3ciVFW/bZvhz5GpZBEztYE
f/klRZkV79zGb7s9zZWIcFufC9dYWag8aJLkbISzkfTbzq+raynLyoYj487ZvglGi1nsoOLl3mHk
3ffWH1FfVQ4MQCzovrefkTNGK+4TFvfJ2cwl8Me0LZ9G9iTkHqbR5isMQgXdM2ryIy4rO8nBXrhd
tULSKsc7zoNWtYYJSSHXS0vnZCUIvI+9Lof4WPEuKBMgfa2uUYIOw3ZGxfQh9frQuR3a1E8/DGM8
0oxOm3GPfDT+NRiGKwjtSnhppjVbR6pnwJ4sVSwTvDGcP0XU1+MNvV9X75osb/zTaOAEpHkwYAKn
tdaGWxPcJyCsxhafjdLpqITMqmX7dyeKPXBzEmyjKvZwKzj54lEziCby2kLAC5zpRlJ5s0Lztqn8
cIBTplxnW8H5ZkloOXXtzIqaEcQiwHyzNIZfqDWcP2mp8V97eYLtWJbl9AHfW/SLU0iVL7b3duMP
I/q/ZS3fcPUZ6cpGY/ix1An1XcQbVASFFjKhyVbo3/DK4h9csmggBZz39i41gOgat1hD+Dbqs45U
jjbrHuKh5F7XRjK4T2uz/DW0+I8hOWAs3KZmQ/RrlM8UNUzPhAnvUu30YTlYYLY8Fg02IuwNn6O8
Lr1TEJbd57mY5wcgGvAXOI3/xixVsvi45BsDYWj8g2xQbwHrmadPIq2dRcwwoQhUfF33jYySA5Fa
4R3XJhpQqsU4f8qchnvSQh0r1+DBwCjY2jSSldf2pnus2lT/6uoBi6SlsdXDo63xLnlUH6aDwI1Q
fa4yILS7JSDsu5OObXcqmLt73MpBezW2RfqHimIjEJeRe+Yg02jBj+JB+eP3uKWo5KH0Zf6GHLx7
L5f1Fihd6a+0DPK9n/ghMVE5hZDTmCSZSdNvtqjbOjgVUM1U6Q2ssjC7AVLDUlz2KadcJSn5buqM
K+Nyie2DkydoLG6FNbvlVmgfZq1T4KNb2eBk0Wfibm9vSmbaN1v77a/aLYNrwD8CVfPQogdpqtpc
OPLcbDjbq3Tezl5k3sOBRvqk/ay6Rx1Bi7vhNR8aUGA08LkjfhPo39MNMl7AzpBjwa/PQWWmWyOV
6g8vS5vrAgZ3dLTj0aJaU4FBXAdOljpXbHVduIdHZEd7XJS8Av6f/cFLioydyZFucx0giW5oy08B
n2BTeE8RZxR9CAUYa7MojN+OCNL5MBddbO3GpJvLxU2T36N4pRZrD0b7XUAIksg02vlPnoPZ+wC+
Rctd1Iv2JyD76Df3mfEmRtp4bw8ltr8iM6vPqWfKRxY9/ybu8vaLj0+y24aG72GRz23cWoP1FHKQ
/OzM8zCsQjgILde0OSHdHA72MUXVhCIuFjbbuZjaZpNyz8DV7nmo/tuqA8sc2IFzmyGzN1hCk+4n
92W6l9kQm99jNJrf+k66X0XVkxdhJsCOuGyHzkNmdQijSjJ82aZSNVzBx1JynVGYKMVXWmJ5cCzL
0Bu2OWUve51gXtY7qlzGwxzE8zdLaK03BFQ7XymT85kTSsRNCfCsvpvgGIAwANhC6xs50q0dUghf
cYixOCoVZnxj1OgxV34blsPWN1RG5Yxe0KbRsdfRUKcDgVzVGn7bU5LdEe4boHJmC4NUFdgNwrmA
xOW14w5jcg2LUzy2PecCo88CgmT7kdKl8OizDY5bGOvAl7668WbfhLrZOOKrwudwj3onitYpclQC
SAtS5GFhBd2Bjgg2/qI2vCeSVF1zY3AG3FHMhEXUZT2wEUKexmhXsOOhG0CLt8YdpZMtnjDqmE4O
iu0jcnuBVw6aCO6zqqNzPS6tiIImL1aLDH/RMFtmu4+QFSxEgCbjzhXTA141Dr1ByGGIx07gC629
JMC1vm3cBOAD8hzD2mfmSL5SQAFSog6vVP65U6Cz0DQz9r1WzYLOzfkXTbVuf4UxAB0ad4NZnThL
ldfJ0JoANsah+j0pQ1xb1Ggo5dMg/yBTq+p23uSjrE6ZsPKaMuGcbBxZ+ay6kh37xpyQTGznPDby
XZV13hN3A2LZhAa3uKKxxF4aTzMIvzrRLbAYToDDLvdmjt2B9Eq99JbDeOMMOBo2dmItbV7DCR4n
NWV/2oJT+h/H5Ly3g0Rqdld5DeBmBeQPRn5f00Vc2clcqm1BbORAj4HSySqKbedxiKqSfoNnUdtP
6hgLOf2g6tek5nyEzpg2wybG7NqvoJHVDjn0lvqdo/G70lMj/izConBl9twJWH2oPqw66IKL5wjJ
PkjYyX8w87BP7wbD66KruKkURj5M/ExHjem1LssEW5QO231O7CtAUdvPuH8a8/wjpqQD/K7U5q4M
VWtT0vFs9IEtIOUPQQ1HZ0V6e5MdBtehooUfTehV0BrOQwwu+FerYCKDcPGH29TXQbh2ZMMKG8TM
350TIVXYZdqZnNUkq/IG2i79ewM+C/zYUTypRjY/WjDkKGosjqF7T/Xid0KaUXbDblveYGYiursJ
hNltDR0IhNIZBkUeIEyof0LpPnlDm3wCf0I/CmSefqzsmoBO7ED9TwhddbnqCWj8re1SBBuwEzQy
IJ55d22mIk4HrLaw7Go7+eMzBaH/Wn1C18ke1PXAARiPUtS5P3MQtj28Kdg5q4yroLuCwsQiUGRi
GHDca/x0Pm3X01xz3ODqNXIygM2jfqkGiXeTaB2srSxg9yildj+gPsfgghLJf0JTHh0sHUPj0fmA
FTlxAHJveR9IQgCWtwh2Rs9d2mwRagtT1mlxK/LK+lmiCaiOPsDIHEZ5I36R7GHI9RQWEstoodpk
L1Cr39jemLd73wrmfp1pepvbiSQdsUd1N90ob+ywrYyhOW7y1Km+Z2EYfw0QMj7ayh8BvY2ayfSL
NEOR72E/dc1K5SIUiG267j4mLyI4JDpN4yNaB87UiOzao2eXJhAp5ONPYxF7Tx5ofc4vfT8ie8l7
KNPm3H+Pc8lpfW4b1HuZzZUTQaTzafZsl2ImWC5siA5RK/Rg2jS6NQzTeTT8DC+wkdrZkuZJjbuD
YKDQSuRaoSem5LQcA8h3Lh+cdmZRrCqcdnQ7m77Zqb5wvnZhpbCXW7P8pGYEhSQmhGKb0KdGqQFb
w6L3bHM7ZQ5FDrxRjBYb5MgupssKf+BK0BCNt+bkUmaye5C3qzBnad1E1MC2A3ymjtWGTv26dxF9
36ADaeGV0QSCbC0wQVjxmrH8eiu6Ic0+hZBGAjDXI81HtJN+v4W3i+8gUOlIOy7wpvzAhhyHG8oh
dnaQEjXdtrJ6+QP2r44PlYgQY0duK6+h2ffppkPBz+pukwfBx2bIL6YO1aeAu623lbk5Z0iUsLdt
pIuWY4Nqh2MqDsbyeiQu5XOOHuJHV2qjoPXn2Y95M/VQMvBeU54IK/ML7Pnso9fricdH5fXBB0Wh
yVG+SrPpVAu1hOhQhP9TsLZOKN7KyAOm2FfU3EFgk6vheuNj3nfjl3pG7G54SYoEuZn7Kx2P1Jil
LWJYuOi7HzN0eNbVSAYBvjDOWAtWAJvVnkwmfWf2Fh/IgKTu01TJkrjCkl8JzRD2ZSCNA3oq2OJY
MBRKTmOHwAiuVEsI4gP4udD65qiGmvlA9NdNxCr+0zZDa9qpBDj1BwN3CbXiyfcSllcI7xQDc+nd
2VmE/aDDwFFvZyvCVplEk5w2IRLMIztKlwEkLVFON4btfOxyp2Mny9icKjyk3Sq2aiPlPKn0SfWx
72+SInI5pECIkVt3bPtvszvJz2Y0FdamoStLRldfe3zWIYF2G37piepxgalGIjvKryZHSEGRxQ/a
r9GAffua88p0wr9stTstqemHLAlY7GnfwwPHzlveof3kikrrNnrsyQpF8d2FMtnQDvIozAfUPDZc
qdIvBryPeg2ycnJ3FT3eL0XUqBH4jDGe/qq5mHAbosvkZg67jCgBdfS6BmL+Vx35w1AXGUk0nszF
tSZH5Ic0o4QqcC7onfQB3gTQ3LX8GbaYTrGhIV+DUzCEHyuHjg6pLgnlviKH0UAZRrQIXTq4gN8o
jXfeXa2jovtAK9viDF/qMPhkdqOYN1Y820e8RnGO06aOitVf/iDlVHC226CtSa7oK/hww/nU091f
ZkXFoqJAuIncQP2iV9c+FjKJlwMUMiyBM/npr3nGzCh6iftXNVbAsVYgVjRQt1ILqXK1+wvzZOsL
N8i2pbIiuRZsnieREsJzSNAwT2/EQl3IM7KWXDX+iisAVSyZQ/9IxjJFCNxFVu0aTdIEacpB5LIb
h3aUh7ELs+sZjd23KUino0fhYPNf//k//+9/fo7/Hf4u7/5/JOh/ii6/K2MqX//3vy5FDNn0vjnM
27bwzbOsw4Ezjctax9UHdwfSJZC0lPP8q9dHuRSbBCrPRtSIwsT3ziIAw2TSRAZxezIsmqtQGP8Y
XatvuGeMp9dHWjK0ngWfsk6gOreF5O7j8IM+/zGHJApLmFpEymojvhrmztqzmQ5r2yAXwsnld60G
AOcEbFw1Tvfz9cGXxzgbfHmHpmsT9aroSj8fvI76MMWHT3ZEoZNjJWLyKkF17JqwxSFo9xEMnjTb
vj7oi9+Wrh+dP4YTCOos/+wNzlM1tJGD6m1uuuqzkICxi6o2bsHhx+/NVOTBfMeWnoTvQ37Z2Wuk
WTa25BtgMKuqZle4frHBqtpuxoBUpfc+lW1SUzEd14ZMqMRZyJcdWH0FAx/YpKsetJ9kH0ZZ/7Hz
Pr95/0DcJW1S6E1+RnEWypaZykHYBC0ATm6zGqkI3Fqsqjt64LgzXx/rRQAcD2N7hED65Ox5WHWf
fx84bAlcyX177UIbhSU9WatUljQsUAmvCMTo3zu5l/H85XWxrlh45Z6Pl1RtCOiM8TRq/D3MR2Nr
d3N+/+6nItfT8mlSCEob9tmryutwZjf3OHASR7YOysTfYRiFjNsK4CdyUA+vj/fygwet7eLt9S2X
jtD5FDcNfLC5QIOXia5ZW46imVuDJ7IHb/78+lAXXhjuSsvhe3f5De2zF9YvpYE8Jm5iLjL1mFQd
DQe3sv+0AAr36FWj966Trk3yOVo+ygNMMGt59H9sBQZ5AGyQqOgMYLyHOSw5kSOhWrN7v5XHeOFX
5LMgwg5Ek4075uytwThoF+MCwBk4oAcCXZgBVGfWeNe698YQ8lSIwFin+K/Pl//8qawAZwoeomUu
2/XKsGJxDBAQaiOx31igLr0v1gzWQqS2rP5n76uyEBmOEY+i0THg0OWCPYRjso+cAeLaXCe717+P
iz8iXVNbKcfnpzxbe8n6GLLe51MsSEHej4MMNzaZYfu2Sf78i5EsX4Ia8YTLhv38N8TkT3aOizE8
1bTl5y4MtrokoD4ZQ/1vHkpipxT8hMqRZ0OFHOltMx5ZpQYLTh6kgKMTYLsA/OC+kRr5crfmywDr
SV8NgSKZts+fCik5opsApDAsnAIx8wA1ZxdyHqchT1zon0Fr5HqtZdAFmdElnyZfcuH9Fz+tJzzf
Nj1PeucB7SWX90KPcB6swKjJQMJtTrFSH4Q3JG8syH//recnBPzLghALJej+WubZ8USEeVvSEJPr
Yi6iL4amg7NqR6KNKlRmtyLK0rtYa/uK5lhzTRieuGXLnbe02r0jUhz395RW/W9k2YXH/R5tFt39
9JDEJsVdA/vLGxvWMjNf++eevR/DQKaaKk+uU/oVYRHRgQ1Gog8IutiCaxfrfGpjWMOAQl5/J3+f
O18b2Xr+ZUBGweIyMHIDvBHBA2S53LtVFM7Wtan6K3+RBFAk+BNoqa9FnEeHugve+Fdcmt4s/rwv
tSxc3tlyjHnITiTqHpx+sCWDGMZ4g9z/CCS8fmOoZVK9eF4ACsxwZMBKnU06Si5Jh3XPXgftNweN
5p6mTEFbF45sBUTo9V/30mByCRZF6YH9wTo78/hV2toL/5a2YxGa69K0q2vDTfTeGcaMWryN6+yN
5zMv/ZYelQJOJJZyrfM0Yx+PNacIMjgBuDSwfckiQIEdVEeX4/pxIu0LMYqlduACh7uKnYIOF5kA
W0ojyaNh+epqQvVdb/DPiF1NsXz/+m+ybA1nLwBTsQk+xaPWxxby/IMrlp+/BKGFKg5jpVejt7dp
vW1fH+XCr8C25HOgZYOyhDj7rIN5pPsK9mDdTAKkrg0gxXWsFd77aff6SBeWVpZvk43d4heX6uzb
zQbZo7bj7Ed3SB/nqAiOFd2dNWWUpQWhin3fmBEsSN+4JjlEv39R5UDNWqeoebOqnn1i+YjzMx4i
Z+0bpXHfKoG3QkxVeY3lOvvy+qNe+JwdIo5tbgp8WOb5BRqFJB7gmrEQCi8pAJKcWup0qKnnGmMZ
0Wdv/LYX3qJiZ+QVEtDt0M17/q0QogPM06Gkj2itOdVDCvuvar1rbXn+G0Mtf+rss2Qo37Q41nBz
Po9wJqWnIRgoYDPOXFpAWRN3IErjCAg4oWrbwRbWB5KxjDdWiItP6FmectDcOI65zJZ/HEQRceoE
OhNENEwXO+qcqEgqmOi4OsrDu98enQl45MxhzwU3+nwoZcCSx17KIXcOxINdVwl9A3THB1yVqY8O
r6+tNxaji0/nK26V7Pmm6509nSNbkzWQD0aEYVtvDaBiHyCbOMkmxlr+/usKvyKvUHnKkpyAnz9f
y8UJGhw/JWQVhdKIc45LXvdWV8g7X/8pLz0XK5fnWzZxsK48e64UjHaJ/thZYzhzCBiCPmxkZNR2
iA/f+EAubdDLDODyQEkHr+fZY+HVF6rreCxCntxwXXll7yATcMsDYH0DhnEEcjgb/GLgnjYNv7Wu
+yNZPvo0dyaH8/c/uWIvo3nOouo4Z8tNk5EK5Q5wMgnddQ8dDqjd6DeP3YAp9l+M5PvwsND3sFss
i9E/Zga3NwJK+RdwWrQIFMAeBurIQvdKIt4bv/Glue8u9zNS1ej7emebRTNqJFoNcooKue8RHiNd
NtKrNpoezglwtHHEmuj9i+nI/QL/LSs3NQr5/PlCF87jBDgbRXEW4rRFhpFHyvw62fmhmv3gjRvv
xWekfeTaHLHgWZ69uBKPg2dNcJuCuOzu3dhO1mTwzAeIGuk1LkEiJ2AVvv+ayNotF2mVybFOnT3j
DIIOfR3o9gytqrldTKPoBFvXuvEZ+4cTR/HX17+aS4/puR7fJl+oYrV7/qtCQrODEY7HWk1O8zjO
gMZ1iZw1IZH08xB52XU3GNOv1we9tBxQV4Yo6nOds52z5UDowq3tAVICVphxU07GtFaZgUGAbvH+
3UNR96QmQ1VwKQKd/aKkbC9OM3oH2H/NTUS18pqycrrL6qB/Y0e88FSUybE5CZc7I2ec5z9lh30J
U1YDKdYXYpeirKQXkinw196f1x9q+Utney82Pz5Kzk9UY8TZSxtFEDRpZTZriazkRhNaPeL1LMjo
fH2c5Rt/MY7kEoxVjjKJc7aUem5dpAloW/Qu2j8wV8q9GhtF7rgEODUr91H2aBYqtkNCENz0x+vD
LyvW+fCuUAhLaJQpKjXPf1BPF50TupIZL5zhwQ3E/BFVN8hSry929VQYb1RcL8wFl6xTKuTUuKR3
voJ2aBPdKKWl6M0hzqO8dH+XognXMe19ACZLPCUSyI/vfkjWbPAvUkohuEg8f0jQx0D70Wqvex84
XQkl4lbRnd7Bg4Rpwo3yjXf696929quyKfJ9etJhDrpni7efDRNt0gawWpemP5wod38uS/wP4WLp
xDul4bOb0RhhYZoxfaDmCj/lVCDV5vUHf/lrO67yOVFITlkki59NF8wc4JtiCqVCGdY9oYnZH1oS
JKBiQLgCleC4qwmDjb16fdiXH5XjMk15fmwhQBuWWfyPbVLBF449QpXILyRxLC0WlAkxk0f8LL/5
COM3nvLicKa39Jh802fTfD4cyEIT6xIip4UB+Akdj33UGb740RgxZUclmLl3P9/yi5LzhQne5Bmf
D+iphUpcDg32H4O2ZCLz9mHubHVMnGAgQLNs33jCC++RQDfGdNlHOLaebZSy7uOclCWsn37eHGJZ
Qa8n2mFjBEF6iCIjOM6GYd2+/pTLyvP8I6amz3rOFYdbHNer509JgbakjcRUJdMDdZMeCRlMOfG4
ZlX9UlFd/0rahvwATEZvzJ+Xq/wysuJkwH1cIb96PrINWWjStcOGCb90S+vZPWrpWddwfso3WoYX
vh0quKakKkcpl0Xw+VBGYCVVZNtIHCqYjXqc5i3easTOc/VQBiR5v/6bXnwy3iB1JdR1tnO2q6S5
GxlzjPQEi3OxKzlBIvMPjB3onOyNH/HS6zMp8PjKp+0k3LOPNLFGPB75wo+ZMQD22gi3NtwdCN/y
M41faw/QaIlJGI03TnXLovL8u+F8xZCezzGSX/TsY02HiWSiXLdYQKgvGaQU7WIKH29MiZcvjvsH
5WO+S5aaF3OwN2GSYPxu102TgNTBFLABQlPtIHVCHCIZ5o2f01y+hPPHcpfLGZ0ni9Px2XTQogKS
3MqWplNt3yQZN8goKQg1s2Udk9oS6L2oGswCSuSHus5BlcZ+u237UIL1GOoPAqja4+uf08t3rOD3
WZTy6Dyzg5x9TiivQyx4vOMmz6BD9CyyX8K0HfdwgtRT2+LEPCQj7sINOm5Elq+PfuEV+NwzOfXx
H3wbZ8u876oRX25NY7+Zv4Xgj2m8EDI9YWliCdy9PtjLcxKrkEmblnnjSOu8/byE4gJEJJ1CIO0+
EMgFZMedh0OQE5lLYc09lmEOTLJr22TrIEV4fz3YZRIxPv8KBZD9bD5llEgFgKdu7aXJLy5EzQcS
2gNAsql9//qjvpxAjMSBDAspezfP+3xN6mqi+VIHvY01FjiO66jdx7Q73/igL4zCCYwL5nI0oCdx
9vZqwwejLQJ+0NnH9kv4z8mwQKW+/iwvFzx3KUEuT4O9hc/l+bOUMGshSY/gWRec1xTJ/qjM5Isc
5nn/L0ZSnPAkNzuqZmcn2R5oGe6VgWBXxMjkmYbuKQc+DO9DZsfXh7rwLVI75xJiQqmms37+giKP
WBq1sGPIfWxwSXTOzh6t4YNpUa9f5bJJP+UTvr3G7eunZlDvryRDn0MyZCFQUHQ6z+Y9gF7qOzky
KsILi2va4fO2HOBSpmK0t68/66UX+Ldowf/79Z03BGHA9J3bWQM4nhqbVIqZDO97cgft8K3OxPKz
PV9hScfliRYhiwAoffZFegEhVeaE27KWs3yAd1c9VYayniwDfe+qbz1/k5dF+e7tilFRrnGhNKmd
nb9McD3jmIV2vx6RUl4RrFRtzMF3/sU8IOCOOuCiJ6CR+3weDBPB0MIG0Y7jEC7oLGG1ylmvyfJ7
f5GKR+E+yfpBY5WK4POhTAvHMiJrZE8ukSUukNYtSXjOKpTgWN7/cSy1lEVEQAfcOZtzlm4IBepl
v66DZtrPPmTsiEbxLuvHH6+PdGm1ohHHNrPIq2hOP38o1crcnzPSNmpddcdWc0MuPJT+r49y6WNn
Q5UO3lqomM7ZalXJgNJfgvey9ogNgcoPClo79WFuy/6NzfPFUDwEp2puwoR8oTA5OyXNcJYa1ZHt
Kpze3ROPMh3qoaPGgAtp+/pTvZhXy1D8cooiKSdd+2znMgjyxlcE7igt8vCA/DkEQdRGd2SyNV/9
3saSmpDYUb7xhBeGVZxyiReii8A2c75K0srmO6jIwmQL4FTdfiE20dxneWr9BrnqlUCgnPq984wL
wz8HPfv4HVA4eRiNMyy7EnOaRcAOVI52N8VDf3j9Z73wBunk+TyhREIjXkiRYq5AFsyEdQV484Ri
GTKnS54bAnD7jXn24py3PBXSSdq1/JYIJp5//QHikliO6RLMmY1Es4F2tSUAHuQLxr7qLfWNc1j6
MLrNG9PuxU53NvDZpwPTBVm9Hc3rtjWHHfdA6EWxg1XTnJPqBG092kDywoFP+PA1jeX8jQl58Rti
M2Di00GhMv38wYHsza32iToRESFUq1iAtdyEUVZcByACEiwaNWSQCcTFG1v85YGlA3eKLhonzucD
a9cEwUrSFl2+tP8M9aP+bhFDtMcK425q4c77lBDI90/UpUdONZDtDyHY2a89VIZvFkG5PC0i/jUl
qya/7tqiGH7OfWHc9VGTGFRwS/3z9U/5xeqKrIhbMNVbCigSed3zp1XlbNcTBJw1+AVjxk3SoYon
sdj99P5xOHRKjps+YtLz3hvbhVV7Gv+0ogy1JOpMOriKInwrb7y+Sw/E0krlgilHAOPZA8Xt7NpZ
kIqFiUx4a0n+wtz0b/VnL6wA7j9HOZuWUQqjHfCHWIMDafeuCqC4R/5CIXLfXRLhDXFYp0eCOZMG
zdl2AUeqzvvIQnSjSutrZEzmvdW5dLvQE21ef0kXPn2XQy2p9WrpPZ/r6AjK8fwiC8Qa4hu0PZiV
UMGH6ah74R1CknVXPXD2N17YhRWO84pStA9M4Jvq7CQh3Mg1CNkyQczl+ieVl+8QEeebgTXhCgt+
sXHmJVvOd4HKv/64l16iWipcVBOo959/KoTdhW2e8pV0uZr22NIJYkxw+Vmwdt7YnC59lZzaF0Ek
x/cXYlmfXo8OHRAhFMDLfSnKeuNSVHhjzVxWiWfHaD4VioVI+Fzci95559C1QX7WMyluyKsn6JH/
y9mZ9ciNXPn+qxj9Tg/3BbieByZzqU0qqapaUr8QkrrEfd/56e8vyr4XSiaRnJoxMLAtqyMjGHHi
xDn/xapuhN/toRJ2l0M1qRsNtbUFFBURAe60eB0vYrQzYhmHzZe6q4082xdhNx1w/pqO8Bq36qCr
Q1kEEJl03eA5eR6n5AomFM0mdVdBStwTLREmxKAM3UlrCyK7uorcftQVKQ3SqjgfKolA62dWqu4a
PDFvIDHoNyXuKbcjzMWPg6EFx+vbcO3U8cmIjCqZGu2t8/FwTojb1mRqmla/JtAVT1ELay7BIddr
MYzAvHouNsZcmyNPnreyOTWVJWSgBPAe5CNhf3JaeTcrVRJ7UzVkORx6fBgRoc7vr8/ysjPC5nS4
2kDPEFzgy55P0yhMDAEmh8AcO13kptGb5PXoKIcE+WSE61ANI87Zhyg0UKODb6gc/EKGZnb9h6zF
G+bNEx7YF02aRTxNLAWfqDAC/xbb6qOEIYsMRsMcjpTThp950RpQl5Cl75ta24LDXY7N+SfAYuRH
OZ9a0vkalFJgjv3kY9dVxJXX6fqYoJPnqs4BblLjVXo47NuskfbXp3wZfRjWUNjLusBkLR+6EPap
a4mLHW91fW9Nsf+QoH13uj7K5REVA4D25iXNTSEvJ5fY84SR3AiW1jcIPAFmWsi9HMay+vLukSyd
KCDe1ORoy2QCX3SKdKOlwk7U1L2TzOFxsJ3qqMyDuTGpy8NJI10Ad20TMMYFyCwwI0PKmwhovoOs
upYXqIfLErJUue0fAMRKSA00W0Cly9NJ3xlQKO9dHqO0Qc63SWdB5u4MQHxwN6OTXuFtW2Mzdxpb
mLdNBI74vespykk853kn0mtarmfeJ0mD/xQyWeHcwfUdayJDwcPjPgNfs7EZL8/A+WBiG/3WIiw7
PxwGgSCy6hYhartBKyLoNE+ejQGrXnj7VkGIz3D13qj3rIQgFdgXYgpgz0Wis4i0hWy0RkDvk457
bD1gY9jvpFD/mksGbkUlsqcIk2IfOyJhWtU4HhuZ2m+EwctPa3JhQqgS7BICgNhvv82+iBw7bGVl
8qZacm6lYQqOU2r5pySrZhSGpq2U7vJQMh59aGgsDEgF5ny8FAlHJICcCScd1Xmg4jxihhZqXqB3
W8WGyw9ryQQZVVFNnsUQMc6HQk1mnNHKGDyjrHtUDfumfYkcNNuVrk06KMOj8RfGK/VdgBv7xqa6
XFbG5qOCbNaprCwpVumkoKc6FoNnYxX+MMCgOeUUZNG9UptjKCvdRqZ8uawib6QRTPpjg2HUzueK
Y84omZE1YIhYEbydeHSR08DoVK6/Xj+bby3P86TOEgBXrk5aa6LndT5UGtYOFftg8rCORaZxyMAT
ubWOVSpQP637s0cz69FEaecjqNwJrf+Y5ogrBKLxKMBg1x3SzNzonV5eKJZKAJZJmsVVtkQBIh7V
ycCIUVHxZUwHkfMJd9qQT7+uz11cxYupw+MyRKJCCeAiDsITx3VL0VFXCBoUhKC6yztAP1V0VPAd
BZumAXCAKWV7yHW2mptN6OZd/wkrH5qiixidYh1iEGLT/3ZedcdHOzax2dSGnNyTIrQnuTbkWwDz
2sZDaHUo+mlQcIj5IH/Ph2pijSykUQZPnaUWL7Q8VPRd2DQoPlva0G08flaCIcViHlwaSDjx3lvM
LOz5EjKSJSghDVK+61QFvjSaOrcalNVd3yrw1rUpOsIStj80cx08BrOyxfdc+8LQWOkQ2cC4YQQt
54yGoKoUI/5CinI/qRo+MRGVuzyb0SvEDRalS1Xy0hR+P1lM93z9664Oz7kieBjs5+WDV08bP0wI
HJ6iJAYalAoN5aSHFm3HxoheIvh4QNYdKg8lNrGS9W68tc03oLEsSEHidbj4Bq0JtKMb69EL+qz8
UeJYeNT8znCHruo2juxKhOTiYS/DCaUqsiS1BEpnt+o8jMikJEhp4KB8GkZA3kjdRKjeqO3x+tKu
7WaAR3Ru6WQqJE/nXzbGFDPRLbZX1Tvjs8kAHgzH9i4uoy0kx1o0EsURkS6B9Vru5LaTMY6MwDom
WqkWN2FuI7eEERrGA9fnJELtIh5Ro+DehvMKw3ZJebXSqS+DghuuqDT7DnNUY+8XyBAVXTs/tQai
18htOfvrg64sJBe3qMcIZIX6hk74LQKhc2oNQYKgnhmUAyZieAV5pSZMguoG8a+NsPCGiFvOkR47
cCNYJIJ/cP7dJoDHWS5PWDaDPh4U9M5zB8O/OZetw1z1yrwf/Kgt0F3Oph+IMhhoyyO3iuBvJeRo
Biqkg9vKMXKgCa4WH8Bnt9ORnqgSHIYOKfkZrY2/OtnCYBbpNr4RtjHm/ElSAsl3jTro7T1K7WN7
G6tR8cDEgxRlZvXdnFH2ika+Q3rkwHRQF2WnPCzq1DI6RPlQxXySi+E2GJBbxEPLuk11rBTe/RWh
w/HaBCRrUDARX/m3r4iwX9+kaarzxO2cr3ZrBfcFAgXfNLWfN9LclQ0Dg96GMQqYAPrIYqhmqNBZ
Cjvdq7TMfkImJrtrZSM/mSNCh9dntXIgRCOLqoxJcnKRzXZNCJ+sYyga4eMdybXtKe0c3sYpDTp4
l+q9ivnRxvxWIhnJJX1OVpIWmr74ctqs1paPJJmX5Wb+KbKiG2wsSMLqAWR8225hDNfm+PtwiwOR
p+JJTV3Dm/G7ck6tHSC4Js+YJbpOw1XV0yHFiUYv5f31xV37jkhkohnA65MS6SLHjJBORW6QIu8w
jfK3hGrN10oOqpc0yebH60OJe2Zx6Omw8ELQgVWB6lnMsVFQPQlo0XnVNMt7ioiYeXfaL0x2MPEa
JXVXYADzq2poUFwfeGVxGdgCusnHVCDlnB8LI0ZHq/cbxUtaCx2eQZWeQU39Kjq5/zC24CrNSck3
1nVl/zgUfqj40ncnxi0mO9gl0skWY/Z+bXNRIFDykAECjN1GxaUpn2zrcH2WK18SmrgsACN0WyjQ
ns+yQRbM6WYETAe0kL4pctt8mPQYC19aeRvvy7UFFSRuviZBnDLX+VBSCj0sQ/IB2dFWRh20rQe7
/WS1uUUfpFXVnVrb9uNQwhZ6/xyhNmoaGkxkUoZY9d8CXFRR+tFIIr3a97EQalFJfa5SqUZezcnq
jWRmbUHZrBQURbZMJDgfrLbUNolornt57ttftGIqMJaIMI0w7WjayBHXzoYhrkMQ+oBFloibBPu+
FgsYxbMcv27wgVP6uz61DdS6eIhSjhGRgKaXukcVoNsAza8kqA6AH3INqsOMvkgQia1zXNU61gZG
KfU3k5UGJ8tHa35XTQE4sTZV9c+Zr5nPWW90v/KG+tT177o2fSqVAkVPZ5Ifcr7U+IJaxtBUmmcm
GTLtaWPE41EvUuN7mtTyjYHp+D4E+ec1E4+0jcHXpk+9BrSTYJRe4Bc0dezGwhw0xMLCPN1PlhZU
iF2q1VPiAKXVCz+5wzDA9Hiu9nuo8Ft4r7WNxvMWBQahKsRlej77hK57LaE6BKJTyxHCbWU3Kh39
JCHP8b8IEjCEBXqe/OAiQQ+VJA4t9Mq9bAjRcwzt7pjh8XqTlTidXP+maxGQIQA98YAns1wcHzXI
FWTOYs3Dr14LdgPlk9d8AJLs4u0y3PXYNb9/SKQWOD/UGMElo01zvpCBUZRohdUzcWnoHzs4k3t8
OzGv4b8dv5c+umXX53gZCG10rVCXEDpJQuLnfEAExmsTocDZSxU1/gpeA5UrX1LcRMbOKcMv0UWG
edyIvm93x/lFCtlYo4sjxB4ojSxOy6jKeEAn/YQCaCAX3tiPyt2gG/73AVb5U+pP4X0bNChiT2Vu
ntosHh4SHI+PU+/If19fgMutSxZI2kBPH7rbRV+1R+UUkQiJyh9mAM8yNOIfOXjBhzKv8i/Xh7o8
pmSBAszElcqraJk+qBq94biOZ69DbXs/ZqqzD/Gr3ZdZYzw7fpft5SGqXW5X69Rko7+/PvzldhZJ
KBGCDiu50hJ2HsCUNimHoYqBiGKOakOCRF4MqoHkTK2r+7536o0PvbK7FE0gJyiDgUK3F7edDUu6
x7Bw8hRBy+hTs95rneTssWmZf+CBVB0T1fp0fZqXkRgFZ6r0NrcsmeaydIxJmTJ2FRKFdRNFL2mm
Pja+XXwmEkonZQjRHOXx79kkwxvhYm0nEfzACoPC5g26mGyQYdrphImM9Sr6R+2oBndSCrY/aZNg
42K/xNrbNpkL0Ar8fthJy8Jq03Z1OhgYXGiAQgHUDjEK8wlGgnbtFx/YPIObYjHrxeow3lhKMH2O
yLuekVvFC7VNkwe1soLT9YVf+9g0LanWA8MiA1gcatzFYswMCCXRDNkAU1AbMDrGTcHOx94CcyWE
hm9yx0D37frAa1+cVIpqDXw5ENTqeQyLC8y84nGYvaYsh3sMg9Q/cWtNb+xGy/6exlo+FAgeHJRE
Hzb299qRInyBEFd5H1PiPh9ZKdDH8it0k6n3tx/GRimYqyJ9QRerva3DwN+IIGtbjEPMmTLA4tL5
Oh8vA6g7WBH2lNBHu8OIKvWO1A+jiNEuNi4G8bUWIZpYxWrScSdeLSu6RYYRr3DIRCJ3bD/RoNAR
nG+Hl3d/Ouo14k1FXYp8eHFmKkQAJ7uJJ9w7s7Ha4Vdo3VQ5gjmKlJQHJDepIjVRi7soLA9pY9+s
bFgyNdi/5Mg8rZY4YMq5Vd9QrfLmYC5xz6qqG6Mc1A8d1mR3lMs7d1TG4v1RmHSCu12Aldg7i09o
0PI3oigXCqoNnq66juUGvtAHuTde7CRSj9cX+A0vsPyOoHXJX5A9MLh1z7eMhpqtmmDu6NEoTXaI
Pyd7rCqnwzwY5qdS64q/FJSfvQnPlP0o44q4r2vZPOKhmTxHXYluPYqS+s6peBRt/LSV3Uy7nWhL
FR839mVBklSOPmbTTp5ZWOpj4kjzjdV31RPQt/xHgCvcXp6QU02GOvxa8mr8GWP5IyMaqRcHHC+j
/Yx/wH1LLDrJSTxs7I6Vyj/FE/pW4hWsU/1fxDMI4eVsaf3oDUbRIK1TDkPqRcjsfGtkTbIOloRP
6q2JSsbPAex/sCuCXL5Hmxklgo2VWokznEBFpnFHUxYQ0flHzGKKw2FB/d/ocanEXS8JDh0Kz3ei
0z7vUXPRbifs1k4mHskInjv5z26aymhfoFXmVZaUP4CL1Y+RVWb3ST1gwtclkrGxtVfyG6IgiRSa
lKJZIP7897dtX1nwveTRi/1ipEQ/69GdOhXZHXel8xfS7sjrFqi9s5T5VLpyO/l/Xl+olRMtyAM0
C0Dba0Tk819gINaHY6TM4YoMrP0C7LJv8TXoX8zUpnnTtwhv73Hrs99/D8C4YkhBWwS4srgH4rZS
ezr2ePVJXYndaI1N9GtYaxIUahX4A0bvVqbevHuy9McVHboVKDZt+eg1fAVzrGiQPRyH6vKvQJrC
U0zXszraeAVEbtDgFnWL08307soi1UTCNpUTghjH7XyVASHq2CLlVIbqpKzwwXFwatGSKoXF7Evz
Ccd6rdgKFiIuLuIYKDOh5EqPnrRncclD/1ShTCfo1xcmqneKPyRYDHblndNPPzQwSIdY7h5HJ+mP
IzorOxrA3dP1Bb+MV5QnINhxz4M6QQ7vfN66Fs9DSKXWA2mmfqFYZMCmMxBwanK0vK+PtRJ9wLXI
pLEChUFzd3HkQ4f3jjxzWGZ1aIq7jACVe1oaWt/0rm7qh2yeJvvg6PWk4wsPyXHX+Ghw41mTFVt0
7stcADCI9UboIr9FF/N84kOkIW0CGQNrdsKK21RKeJyxzNk4vZdR7nwY8ee/xY92KOGW2FrnAW+z
A5xJ7e6uKXE2wNOj+e7EvX64vshrA3JgqRyBG6AhtthTbWx2xpglPV50UCbtAscgrEwhUeGA6PrA
bTYy5LV1BDEvPicFBdTszieIyaYCIKHpPa2vg4dibvJn1Ri3rvzLMEypArUMDekmskRlsYxg5pwh
z7oeK4GqOUDGTEzXwYLmkU5V/Tgbjv9YJZL2UJRB5pm9rD9eX9WVY8LYZDckqIbAm5zPktJGqA8x
44dZk3t4b+E03jbNwzRP1f76UJeZP1UvDcgHgYjMacl+QMy6U2dINB62TgkWKWUsfYkz1boNFAVr
b9rxOIHkqv/KyyDZqrpdivaJmhulIfSH6FddtAMqCauBQG2ZaIS5xQ5HEP/OGprkLpdbs0L4CMXa
N0vFryFeyTtfL7s/26r7mYWt9txEc7pPynBEYLC37ukRtZ+vL87aPoCMC2RW8Ethm59/hyIcdSyF
sp5WdldS0UZk6LNkFuFxkkpNwzfattC76wckjGJNfkLU3dhIPtf2O3kAKqkEMZ5Ji1/g27nu1w6/
YDBwYHVDPwOwG9vNRvV37RjD8QT6D98UPv0iPCVY6/UqLnOeJMn9S1XICU6TmLBOR2eeq0NP2/jm
+tKuTozCmfnG0bjs2keNjpNAzkHmYv4ij6r/QTN5pFwfZe0gIRCCBhNBA4bPIlxA586LIiQe5mkr
71vJt7wo6zEHK6T343coWoCKp2KC1hzP9/O94kch0Ta0EMzo7fhYDIPjmaEc7v3AKTdypbVZIRxE
jYRSFIMuNkVXKEUaaU7ngShF6bXr2r0aqhibh+FWRWZtY1jEdSGyqFKAWi5g29Z2aRDfJwzO7lS5
jT2Mv3PMnmNTuFwM7wb6kxWA9RI4FcD3y3uSxkZedvgReT4kIrS+s/pYj1XgKdi4Ha7vjZXIp8ok
2WAseKCQBJ5/MABQWkw9rfday0Zy1p+dXZBLMeCRvjmpgcMjQdKBaw6Jv3GoV16UKBMR8sAiifrT
UrA6VME30QbqPF0Km5c8mazIw5TTcpUIYN6pKh3lGzLTOGDLeKhNu3CgnMorVM+FwTqmVOzmDrcy
brBTUEJG9K4vzcoGE/hVKpxUdYVuyfnSFJNdNjTTBk/H6eA4V+m3Ensg9MLNjQC7EgXOBlrEncbn
CT+EoClncAOjh4oIliVaazQb1b7LVw1PULiNpA3goOhInE+ow4B76CS2sTrP8tHp+5qXryLtax0l
QVvO5Q8SeoIbg67dbnApTToDvKeg3C12mEpboNMajEq72AyL3SxNGAFraIbu7CFXf0hlJqNjIbea
F/PSHLB60fRPuVaWn8tqQpGayNElZFF+cBfz7DxyYsYv17/02sKAohddNyKKvhTgSbAjNPUS5ZRY
kcznFFPWvRZ10j5IHEor8Wh5mGmbG1F5bVCBA6SrSv3mQpETVX38Vy2/92w28ykOi79SYE77FnvS
G8zD8Hv1oX9en6iIieePHzoT3AIG4UUhRC92mh83M2wbiUzDCfJvZtF/TRDIPEZlm99Lbe/fRIqF
VNZUF3eJn7xeH3ylW0N2zHEE/yh8UJbk2tIe/FYxxf0KpaDxsqYuPkSTFTjuVEzGMSradJf58nAY
I6UcTnUKXGhocsCuNNG3GE4rMV28wejXAHkVmMzzw4DPZRr0qcI3z5r0hhA7fhgC9Xtr1dOtOVbN
8frk1+Is2hxYv4gMDwjUYrgE50Spwntino32F04/8JfbrDT2xlDhy46DaXQXIBH3YTZKZ+M6WZuq
Td2HljYNI7KU87FnTY4LLLVbT6km5+iEMk7RBjonruPU2b6uho3OiZjLcpehBcxlIq4WmD/n4yVZ
GSpOx3ikpuM+zfA8lsy6OCSG1W28EdaWFTItZV9g8PybRb4R5/OUZJipepGlDtG+sQ186CiGYt/V
NCceKu0rqs94mALTVr9c/6QrB1jwGAWoF5DipU+LGhRJFjB2l0vmoZNa4UCGffCDzX9b7fQ8bm9H
s7L314ddOcOAd2h6EjxEBWHxNUOjSjnaNQzYIDLzUyLLA5ZlEjWEyJfGz6OlDdWxVyXtaQLLjq5C
o2+9WFZWHTQIRWBTNOWQ8T7/wCZmfvYs+Y0n2W1ycKb0ySp77K1ntTvIpVPeIL4feg2X98YpWtlZ
4CIExJUoj0bQoujtR1btDG3aelIc2X/hTasf00ktaVLlW1KG6uokocmSAqAoDO3pfJK5PNv+LOO7
M4yW8aPGwPiWzpR6rPu0v5nbLvTCwAx3lhLlf3ZYIpqQIYBpzLKOB1Ji+33gQk8Ybvpx1Lw8AI5I
YM1RdwZ53nytSi3EMyk3Pw7+HGkIrs/9Xxls7oH1nIfbLo2qHWHCsF2KUrjuxWZ1Cqdoy1tjdZbo
JoriHyzWJS7TtkMsbZuhxY9KKp6lcbhNUWWboJiqtUtvfZLwrRznB2qu1cbjZyUsgV7i6UNoArq8
3Mgq7oZhbTWt12JX9Y3I+VRpRdAAfgWdYITqy/Vzs5JlUQET3A4R7y8kR7oqtkPyyNYzm5JXNHzF
TnWzfEs/ZW2LAiBiXvDYUEtbbFGravw+D6XWk6sOg408ySIM5Mpmui1t3D2vz2ktFgCpFbcYCp90
qc/3KK6vsZH2My87SZ9ealuv809z60Mp74ZGexioR01YHrU93pa8rvdDgkXf9Z+wQpgBd4GQAp1L
BMYpap7/Bgmvhb7XFPiVilGNCPujHIteRNn49+acg3epA63+E5UQPXuwwkkVluB9gGJIq/xMyil5
VaJs+Hn9R62EZnJc2kEk7mAdlwEqbJy0SjVcjIFaDvdZjH113xrtIQvyaR/VjRq6qOlsCZetjAqf
WKCXHHIr+lHnKxGqiYP3pFR5fdmYXxw4ZngOVr7+JJeqPrk0TZy7JOyK90+WvjGQVQpYGnfu4rqt
7boHt4oudh/bcrNLYAvdJwUNnJ2DE8oebWmgGtxUG8d3bbZCDhDYM+VBrqTz2WpypISmP+NXnhvO
F6NSRx4Suh9DC6iD8iC3eXcwx2DcGPat7LjILkCdkEOJXis2jYtXjJwrdWKrEqj8hLP1oCkNnvS9
5qQ/Jmron2On1hI3heZ96iY9N10loaPg+UNcqSDdQ4xmbaRxPQXVb1QZoS2gYdZiTebOhRS8Xt+H
K8Hg7e0omt98mmUmpBhJOJTOgNBVnas4EOupE02PpoYyR4ZtY1dvBYS1AQnjtBl5WBNaFzczCLaS
ojrKWrJVgvUnjU7v6rSMbrMWQYTd9dmt7AAOF3UKsQXY8osd0I12Y4dc957vx8aXpjZfinLOHmwc
hb2x6stDVAVbGcDKpYHOHZneW/WbDX++6yYalXpSWpU3FRL2MHHaWPiJyyn6s2Y1fKmc4X9RBoeS
DI1cPBREKeB8RNyR9blts5pCVjgk8CfiuT2F9kgTN4kc9NJmRQofrEAfstthrnQpdvNaVb9fX+uV
DwvLG4Fs+twip16sdUT3wc/qqvKUDIDxZNWaKwUWcSzE0O5wfay1NUaOhyY4+iekeItN5KQUBDjO
lRfGdf85UNLpJZH7zGVo+5jPZbhRyVvZR1An8YlAcYk0YKlCa+mUOsCg8CJMleoTcn84hY5yHI7I
W7bxx6r0yfDsvt8i36xkBEKxBqIhiTQ6ZIvbU0uV2FAbWmMR6Jt9iCaEp9g8jq+v5sqXQ1qS8jW9
BQ0500V4jmQnspykbLw06Qoo5vp0G+P6vgudpHr/QtL5oolATiXGXExoLqY267Wu9ZzcqCo3SAB2
JUVgf2YFXuEUWQcYDsH+3fNzsHaEpkV/EdWzxfwATMuFaqPE7Of1/NhPuNwiFSqBBVTijdi/sjGR
CBFKWf++2hdD2UmCnH9VksJ1bfhryLJ6r8SyfA8FyPqcF+oWGXhtPLoNPO9EFkHl/Pzod2le10he
t1416la752KN5xNr7NyRUqlPY9MZW/HtkhBG8wHyGcRj2FK0SBdzhBgZpf3UU6RTU+QOBguRh8NA
HTyL3ahXitirGll7USJrTm6UnqLuIZiq9hj0MommXsm+hlhXYag/amO06mMgG/Gr7Rv1dMjQsCQf
GOo4+zRzHoVghOY/Bk0e/B22ZYsdnOQU4Ddn+0ta2Fm2c/xcDY52SiNwI228OPOcBG5wkETgzKk+
L6IqT7exM6KaaYJ7+RRzRXmjVstuWurzKTb6n6zDy/WNejkkhHzKEkLdDS7KUhElnEFAJnlheFXc
2P0doCSeb3qKd71LjaCeD1JCmnPbAeXZygwvIg3dU3ovPF25QWikLaJ3E+NyN02B4TUxGhP7QDjd
Rz4b4L1nUYxDIOU9QKMdD4zzDdvYPh4KFTY0KJsMkzshJb4bpFS7n0Y7+3F9OS8OB2PBeAGRKMi8
zlJcBZ2O3OrQZ/dizfePtlZaX+tae+yk0N8XWcc1+O7xRKYJBpj3okyp9nxuqpXVmFqyhhSUMqlz
K9N3foVh1GO+nbKFnxwtR/fg+qAXz2OBwaW1T/cZhOxFpQOj6lrBHIpB5QBtdDluvLmMM6+uo86b
gOvsDLyGPqqBtuUQI7bEWZrLyDBRBB+NDYdy8Pl0CxyGuyaKTa8JK+mlDwCqnWKkM3ZqUG6aUb6l
asvR+JbImZJasT8Xi9uoXSrjBw/txEGX1W3aUL+vMCgfXLKO+JNsQ3J0fTVQeZ5XKjLXRhhLH5XC
sD9jJpP9UqsM6QNGzDQPjswsQJ55F94kcU3a62Ad9iAnoYJMhR+Ot10MacpVWxm4pOW3RezKEkJ8
O75f/JdZJNO361/xsvJMw0M2gftQNxPQssUbVQ8NEjY80rwyiOR7qALq4DqjkRX8zDqu3WG0O2PP
066864warUxrMurYlcbIavEl0azsdP0XXVaXxC8SVHiqWTxVl011udHDmvJkgWyYHg17PmrSHCIt
mKU9KowqDY955k2SNyATXPzh01ed9w7ykAH2ebs5ls1mV+PVXrsyGPjcNRHlLrx5lHX5EEFDSHZR
E8ePeSWnaKZr5vSNerdRui1q9cm+wOTkeVItVLDSRMcdA4Pm9iaaByfCZsBQIPdA1P95fc6XOxrh
DiTU4a8iyUIl+nxHT2kF42rKSw/2n7mbCjU91VkL3mEetjpdl7EJBhLtHJ5CtPIvOKtVDS8kQJHE
U+26+xb2ugmBy1Qw5kHbz5V5DG7EidUdRpeLN4JIFRBkOZ8cnnRBJlCwntrGw54bHoxsWid7EiM4
nX1ee1Jly24Yz8Z+BsBxyiff34VWEf0b8PVfZ17zzZv3/M+inOoIvffFf/zvj+Vr/tTWr6/tw/fy
/4i/+v//p+d/8b8fop910RS/2uX/6uwv8c//z/je9/b72X/Y523UTp+613r6/IrhdPs2QPBaiP/l
//QP//H69k95nsrXf/3xs+jyVvzTgqjI//jPH938/a8/qDH9tuHEP/8/f/jhe8bfe+q/pz++139f
/JXX7037rz807Z8wXqmTgHB8U/BX//jH8Cr+RJH/SR1D7EiiPIhPIfmSF3Ub/usPW/4nZVGEImiZ
CttQgTxpkBfgjyz9n2SFtDPJnbmU+It//L+pP/47sv77q7AU//nP/8i77LGAx9/86w+x93+PvyLS
C/8xeCaiQactSkcS2dCcNLIC564ZiKv2NCMoDYDfLUYQFfdKVQX2oWsAZ7pFJKftPR7WivXltwVb
+RVv/N/lzwCMJORByM1QyzjfxTmaMI0zZfyMWtB5/HHUnZvCdmZfSFH6f0XzrPLotsr0a1eZ6uh2
NQWNfWwmxnTqysr/KPR7cVELWLqdHgbNrZnUEhhdlHtj/qKeB48bv3mZW3HWkFoiDUEYiO+4tImM
4xktV7PQ9jaen66s5dMRFab2Q2HK5R33prFvsT/73Ai7Aoke9E0m24kbV7pyF/Qm2j6xX1muFfr2
VpvkIiiIn8Zv40YF3UV2uQgKnczSKZKi0eRDFcCaTNxdpiDejyEeEk07f4op/d/kjUpWISnKKZqN
GgIdvgQb4WmZxrz9EKoX4E6FIOCyHpoMVTUpFWJ0+uxIiatnfv6KIlb6aFTYdvqVHaXiwpmpvU/+
7voHWqbdb2NDUBa9KpzZlhWb2o9mxfYtvo+pzbILRy/Q3YgUAOkXG5ljG2RN6hZVtyUatbb8BGRY
pEI2CoObxaFquppmsl1q+zwItH0mjQ6+6EgcnBo7pg/TDll9I+f24NZDp38euklxkYfJPlmJ77wb
dyxY2mSu4s4nL8ec9/xombNdGzNV9L1aSi13tCXFNXgDrQpc9Ekt1QvavIhv61idut1sjun3UpkV
bWeWVfD9+he5OOZELZ2hODMCbQ5q9fy3DHiOzj51Ygx49Sl09b6pDqT6/kPQJUHmDmbqf4uowe6C
oUw/RLo/vfRSVD33hnzA01auXLWfym+1Pkr3I26+3uRIOEPTedgISJf79i0u0vCj0AsjefEF2yg2
SNgGZw8mvdMoCuE9WZljeU8180FN/fQDlW/9CYrCFgntcvPQ8hOdA9YJliPPqvM1KqrZJ+1qooM9
Y4CH38QU7orO4VmDbon8Lcoa9YvSpfOvxAnH01jY4d2oj9Ehsa12w8vojYX3e1imdPymJMkeAvkE
z/T8t3RxEMvjFIz40lEccJNqNDmqwtXxvtXS+XOeOfl0qxKhP84TNKkbp68aHN3RtHC8FnfrTw3Y
kugOP2el/wKSxivywJAOTY24uBBtrvuDJk/KvYTc6rQv1Gxsj01eWKmrW2nq7LBtpVi+sQvFxzuf
FXVV6tQiByZKLjlbcUoLJVKS/qAbbXvqu6E7KXme7oZwiLy+KrQDLtRT4eZq/HPse+lk48W+FaOX
mSICRuKxDDRD4Wbi35wvLSGZLnoxdgfVLMeZh09VpG4vx8qD01oveZbqx+vTXvmYQnqKliuYMii0
y8qH1tVjqUwOtDsdQRpZKwBGtKn+DJc5t70qmrtd2ZTjfTUX5b1TIn42Icl8a6it9QmWzt+NOqZ/
9rNZuROWcn+W0Bj2Vm/chcpUpDuw0tnJoB7eYxCRFfouQnLVNeEZbWTzb1Zo55+PecC4EToi0JGX
cs5glvXJTjCebBvKg16ty+3eLLrmqy4F1R1gZOPkOx2oBCko8TRFUa/BhPBpaMpPk16XBycMOjf1
VfOzzrW3NyIDG8ZEsz/6qH17JRHU21h58S0XvxiILfAxzrToli6PkQP0CUTZcLCrOvqlqWkcusXQ
fTSmdPoU+qF6UjkwN52hZp8tafjp5IVzrxZN7DVBZUITiyfpHlBA9owLXvtRLYDUtpKWUa325+nL
jMOpq8/5+DEe2xcrkJKbvvYfJC0G0wjdMuWV26OzoszJRg50uYnFMRJSotyzQnn2fBOrLUbqca70
B7+Tp/smkbo9XiHFRzK56cbX9HhjD1+OB++APA7bJHg0AOfPxzM6uoGxb4wHdRzzr1or/U3SESGo
Ww8/5CBqt4xWVsajowVqinuAToG+GK8uMeY0km44AI/XX2jjJ6/SPFp3hoEWiD1UxkbAvYCm0sbm
Icdjjloa9rzLvp2VxDm6Q8F0KOvC2HWaFchuVWRPQ5SAW5x66wNCpvpT1Un9HgQ3Un7CpDlxnUJW
HjurDZ61VkfnuB23BHKXD4W3Xybcp2EpoLSwPHVDWzpSE/njwUm1BBF1R/kTnGDuOqnZIeGDHFpG
h+W1benXaGq+5Ye0NjxwXTI5slnO/iJcFlWmh0iqQ/uUk/FFlkrlL7TbjpJOV2rfNoA4R6n9226M
8pYCkbVRNbnAkorZgzHg/4snF9nL+cYDBZgLyv5wwGalqVy7c4znWi+rXYqSUufFc/Ps9Ln12FKs
izAIoGJn9R+1ybCTHYwglDy70pdcM05x+ury4OV6hLlYHVEnhDNDE4REl/87/3lm2kXQxSqNvrc+
nmo9Vj8WQRHeU5OtviJl/tMesupzyKk65GkjP10f/TJloc3Bv7hTZTq/HNHz4aOmwnHVabRDHNWq
9BmX8uJlgN44fIgbThV6AgU1kGA0S3oZSVPiqQ3z5aQoYRK5Y9y07079+UECNk9XiDYivMbzHxT4
cydnSa4TJwY9BoIhZa4vF+0DNajhm6W0952UbxkcrHwE+EIoiAoqMJtBlKF+Y39lMx7QApx4SIIG
JMD/JexKluTUte0XEYHomUKSXfVV7ieEfWwjCUkISSDQ17+V541u+cb1zOGuSFLN3muvhtcr+e3y
PJx2WZSnbPXyn7JW5Owqjt+bokT/rbC5rcL/uGcwf4OMEoQYIP4QL71bBhv1RULXoji6PoVD7OhC
QN4280xd9iSekUkdc3nZGfThhxF/5Z5G6+SfU1gdWdCNZ3VbvL38m2L8Xy7X++e6QfboiW5fy3t+
Cit2cG4QZnHsx5sLZRAzbKnqckF4vIvXQDvQpqat3fFi1EFNhUxPbLVQJK3MFZdNxStpMfeq9nNN
plAfQdlH94Bojrg86EDzN8Y8hykjW0J/sj6RYwMmFCwk/rLO3wOJ4ORBY0fQyd5kEiA7/Oc3bCbM
iTVxwEPgo92fb2gJzHn5DMiBIn0pbXo1APGjqXW87WvMWhBsUcZtOWb52O27293Js8E+EYV/2WpM
bvUh3ff5b6jgn0sRDCTEeyByrwbl+n3/X06FE0zihUcAfw6j2POLW+LPcyLqh4Tt4lzNZP+Rg4G9
Fwk7/u/X9MeleZuRosIE0Ruo1x82LfAIRiA5Y+Wx9mn0OqphhW1xDRk8QfMQm37+i3rq3/LpP5cX
2HW34SyE05g9v49pAsBgC0LT8khLtfzQUbqdBHpecDWz+L5Po2zq+iz3Z9ypVVsNddyNG7juGHMi
6jZy8nEK5XjIh5scXWKwKnc2R50Ck6uRQ6i+0FJnjd8t6qudub+gFH84oWAwgKsexD3MB3Dxv79Y
KY15FC8sPiqs8EcwdOoPRKX2bhrI8EnC0aARW0Rl27Pd3dd73sNGfXcHvekS6BFENEdIB4e/JfX9
K5j6z5cKJzCQnaCRxn0H4tO7tQ7IBKSaNBx7Axuyg8e9tzdz0uuPrMj66fOW0Xi6+J1ozDKTtZg6
uZji3oW0vLq8h8tuFEVQlNmFm4d6T4b+iOnZ7u/8XK8xuKVsze914v8mnvmvD46B0r8scEim3rM7
sRISVazRfiTVVsLgHUIa1Y1LUT8r5Pd8VW52OwLLBAh5PF0q0nFC/LfFKjbcrup0afJoJRRjDEVk
E5UDInj6bboxQ24VtyVL/kLLLIr/0iX8wWcEtxqlBQhmMN9B7ffeI8FrB5YiIcjSnWNIjYaUuO/g
Oz8RkQ4vCkG4YBFW0bfM2OhlSKj9UE2Ctz7e1CN32Nj/exf/t8e5taaQ68AtEuOTdxWXS1d0Haj5
j0UJIsDQp2uzJBu7TkVuHyCm1hITwvJaTb6+TpHbHgUBBwu/uJTJPvxNTf7n0ZveMu7gWQkjEIwJ
393oCFvnibQbKhw2nUTaY84US+1fo4z2NxgiuUvhBHZ0bsaYrTDLx23cxGHJYJcQFsRqWw6OCJKU
RFvbVfylbP8vJxA6INhbVGCkgo/2nsycKDWUJp7D0fRrlD1MgK+buuiZfo6QsTC1ImW0/BztkTvl
SeTjYxXt6faNwb0MCSlSwmaBbuVEHoCfAUvu80KD1d1X8d5GSL2Q15CoFEPEcnb6MMMkbzqKwFBm
MnQtf3vVf1YRoJFi+Iw+5KYueO/RU2k/pohMIEel4JXJaAI261BUx43fnHtNbsNDmqCO8OvwAS6U
1XNqeHFGHK89jeKvfpN/TIjxFDjSoTe8GVPg47xbhwW+PZjcYh3SQoYLj5V6VA7fxgESidBkLiWd
21PbKtBpun5DEmAa2/i5kps60nmNz875GRwynBXoTIY6Q4DRjfAxmly0MM/3w420GX0o8xUuj5Ly
b3MyH6eBux9s2vhXIcvi01/21g3D+8/DFS0s2AS4t26kkPfthOGgt4+mqI+YWpIn+MikD4XBcB2p
XOP3tbQcFKpZd0nMdgw2+voXG/wPfBH6EOxOXx0Ewn+rbf7bI6HBQqIapkHArd+18hzDJ9CIQ38c
ABTdG3DV7xnWawNYORySFVrkAnn0X2rcSo84F/Yb0TJvIkOKLuCjPIVYZX95pts3+/4tQSAF5BEk
Q1g3v/vmV5vOGwLd+yNEWsVnxHaxAwZF0wNq+rWj0RR9zOzfB+R/njSAfLHWMBfD5AAlxX9efGPO
10VC+I3FM2QnAJ/J2SGf/sRhSnYiVMo7JBhMX5jh/E7buPjt0/E7zdfAmwIJhqexcuYhgqOjapJU
3YHoVzxGNUTqI3hAtFEI8z5NciVdxCNxCUr3H6Y14R9w0dzbKJjyL28RPLx37zHD13rbyCUma9ja
71H3UYAViivxX8NfU7cp4jsCtA95+YHXN4OsaIVhY+MwkRgOOIT1eIDBa33ZpLNpk+1oORsxOuSW
wDLD608qmYbhkCi+h26zSGV+3GEn5BHDvG7m20YgvVoxjjgFtRvbrjzJhsOoig/gJO9fetD5MHpR
46dpi6dmWCiiZXWO+LdoJk53S4300IaDIg3KBrbJ2DjUxwtqt8w/jwsZgT/T0rMWHg3bt1xVFsZX
IyNANUd45UB8NfhunVYyt4UcJeI05ygcMrJF9UGZfEJBUGRCXPos9o9lAuPads/T/gWvDuE/nJvx
l1lYysHJ2uB3LdZhgA0sqpz+nKzWm4NMnLX4gNEyXlAhjKCoxOY3SxIPNSE+HGw99yAOGA/4qp2J
CB2D+dJjRld+I5nZKW2nLbIbhBI1W5u5zGfS8i0S6BXSPbpbejd/6WG1ULQgW0LlHSIPnsrUxzXC
G5YJl73cDfw0VbGYs83n9YKEUmeOacXHJvRDmXXxatKn2u5RfCUTZmzdGAQtIBuq5vhAZxn3J++c
Jqd0tOIVLw/HoRlvLwrq8rjFboT6iExF+VPOSvK/dSd/WMNgQeI4h2sZynW0rO+phnoujKI40jtJ
GLnyeFTHqDTYL2QGrz7Im9feJvSR4BK/ZlM6XtA/kstfDuH381v8AKSO3CYtsJZAsfuuX48zE2yF
jrHbuXYXMfbDVfE87kTFHofFq0s6FG+VjRjQ1MHcyc3k572soxOGInU3uL0ADsTsr//9WO+7p/9/
KtQ40NVgNvHeXUDPOP3nMPSd2aX/JcZNt9tSmud1GcSXfBDT8X//vD9qF5xw6NRwwcJC5pbw925W
rMeVqsKsZVfVW33PfT9eTUzFV/CeExjyz9gbQ6YewwIhhw2SqSam663NImxripHkGFtwGj4Vu5Gv
yHjhb7nU1re6LB5iiVjObR5DCdmLx1AHaTJ/9RaD5vL9AYfCkEB/gqr55sX2Xg9QZ1uuQSTrO02W
UMAzrDTVBW5OhWgr45asKXZKr73AgXaKRRreZqw/qOSWENdHnxP/sA2V9afRb2E6gNtaYPyJ4Lqv
oDJ52AKU8uKoGtOWKBt/H0ZkG7erYqNukHWqJtC4tftkVHYX9fkgT33pc3qdrTWqZSNsTF6orOBn
NSVLMTVBl+oLLQJy7GdntToBvKtIA9cvxs/WD852E9960a3LOoXLUAnlnuu+3xHSKav8euuva7BX
Dck7ZYZpvUDBJ39ozZk+wmRqDF2PTuJHucxKnDeI/kaQ6wwKR5GZxTYFIyG78tAnpiGV2e/DCGjs
MA74vgDamZ84IIT7ABDG/ABVrMA3uQwU7RSFq9BVBaV2zNIx1jtUMs0fYZuvsRFiBlIGX4P/nsHz
LjlmGwdbcQLu509LcRswgemihgvGYsPWFhjbZp0AwweyobkWS6OTOGagw0GF3KyCVf5MNBPqWoo6
2x+4kUgOUz7ok499/5AkONr3WIfbu05e+6lGQbTbFGneay+yf3AAVc9wJll06ziTh3RTUY15I0+O
MpbpGbjY/JalTkXnfoKSt015PuYNTLDtk4+k3to0Hy3Mseo44wdYoiZfKxbVz5YPNwI9mca4w1VU
GxzDNnxQkTe+CyIXz9HkVoOifV0fNuUdcmVSfMbJF8qexcZz3vRTGZmuX6Ji62wUq+SIPwWHEZnL
iFhaeBagajWSPaLOLyH9rIb1VBIzqDcWge3YhQ0OaR9A4V7sc1lOaj3NGS6mbp9o9HPk6F0vQ447
s9uDzYqu6NX8MRqgET5C9amidpIIdT8CLRdbA4IaUDLHmLmbtN4RCLlnBUx1kpGCIAE/IAYfbEhD
5+d0ZYK0KdvVx5oDXbqHYSecYksk8Jo2RwzISaLRdwhTzyp30pz7FXzukeAPx3GB2z7w6P7II1bx
4xS0eFW4ZmE/oxiMHeU6qmdLXIGbv1oiaCQ3kqgDVuN4SPxSDg9QVie868PGXkF2YlnDl6rf7hOb
Bv0WBV3clLg29hdmYA7TIABnj06byuFknlVLifHYNkp+H3awPjtscIlPnepNnEIyCnoiBXjvHoC+
/DXmGsTF2Mc0u0q9Fhim4O/P53oV9dYSFi1pm7CZLA3Ys3nWRZUel9YDkA1PWHqaw8s221mTUWGO
QzTv5bGoDIhUllT6LKEdwqGOrgVNnq+/+SRDzr0kcN6jrDT3+CIt5uzjsl3gbxjlTV+x+s0ojJGf
caDAcFo5sg2HNdxGMfBGWT8gVsXg9qqsPQwwKYIXMsG9+aChAZNNNqCUPZLM9OEQdpqO7Q69UNb0
s9WiFQkU3S3L9vpN2iUjVyX3/M1Z5n/mZplwvE2rrNsaNt8WhpVC0rPsM0zZIqCPFtl5wXzNEi3y
Vq9Czd1qNVFNRATc6XGdwtzDwdvJX+KEL0vnvWGfRr9UvzyYjJ+y0ai5zaPcSfisgBZwNwsls2aR
vsohHlQKJfOyWtVmDG47UMxJ/gNBod51IZ3spwLjXnMCecMH4HlIUjysQ5RVJwGnQtoRMbjxmWLF
uHaBgaF7QeRfBhzDKVSMG5K+bcfLbbub61H8wyG/kZ2rp5yD6pCH7CWGLOHqsx4Vn8gC8Zi2GVs8
0IzTb5EcweJJFoZzYsopqhUM1o3r5rwAs9QOpW3g2Y+tDiQbPkTD6mLX5gLyKUhz3cdgTe9au46O
P9SQBOjOAS9IPtapzX7j7ebqTqLBgnE6iqRP0Q5NVAuuU7j33tpfCI+1gJvDWokuLZ2LL1EUwJwO
jJridcjrqD/A3RJqtA2RPvNpQ0W8dlxsw8fFaJk3FaZ26aWAn9ol4lwsl3GZpzcLHIA0aeHk/rCx
yC5YlHkxHpEz4VdYoQQ5HubSoUirYpuIZoa4s8uBpbnWrLQwDTAkVzYSAgOKlDaIHUYIUgdE3MbQ
ivXDgqiKTFVYwNQO2TU1iVTXCNVpmyM2Au8e8i532hOZ+aZA4sKHsZwse+thUVpdFuFrc0XuMARw
CrUpKja3fNC10HcYPw8v+4g92u0FJ88jlcWX1ZXTdoJBwb487JPd3srUUtpZmaThySGAtmhJKCEW
Hm2GI5ZmoYhafJYNIruZ+fLgRkNR+0EzAUoUZEai4cT1V1qU0uOOZslnuiy9aWAryNI7rAML6UEu
3Ktfyx7Z52XpqwYsPGFw6G+k7MiW6uoFs4NtOm5E178oQmkpgv1mQJTAh7VtIp8F1nJK8L/kbtKX
bc23u7CufjlUt9OrMWHALehQESTgNZqUIiSQAXyrF2DfuwelDqlRyIs4crgATEeH30rPYs3WuqkN
J1eTqHmCoxIVn3YkS/E7D9wbqd8VLIQRWA11A3zOiuLK4K+dtpXIVH7piwD2R7QI09aLylxT4rU+
jiAXVm0p0wTFD0qsu72c0KqtvIQ7QRDhlt8nC3I3FVHA6HOAyu5e6wqz2SDMctSs2gGQbQCYr/24
4SJUmISgKmAAvFIbilfQjtzaFjALqT9IQX38CLMNTu+WYSl+gLtWa4y8EwcVojGKA4sYjGxVMrvv
1GUjbfIlxU9Dlx++lpEsdbfCG35tK1gWQqMC3jfY9Wm4adS3eX/lexFcJ0K0/Vy2Mv5eEvEyYLfg
ueaF7C1OFwBMSyrWU6EnaD3iKU5f+h22E+0N5QalDxMo8hDxOIfR8zBGD4mKgJeX9bZG+Bl1LM/j
OsoV3JspmhtWifIg53Xvm36vqqsrlyiCykLg3cREDh8Z0NcG+Oa4nH1m6fBgBwXKQQJUS7ZET6DL
c/hklhdgMttlmobEvYbt35jaMGe/SkU3ckTNF8UvITJwE8V+L/qjTKl7yWoMorp1tFipKClQHSHe
G+WwtT2v0amHYWrp7JBaGnQGfwbeSwWNFCHrGVHV5XrEqVHYzghED7QQN4LLX66A5M693yt4pS9p
9jLPqTcNnj86u9zPsFHHQd5sBRJh4QCjM0h3c11ll1LBpRJPYaAvqSsXnRdTBfcdwGf8MBU2iiAl
mmLRDFWw0/Mgi6U/xZBPYaxJUtgU25zItUk1/INb1D/1kU3RFiAcYw4AhLU0P/U6K2QXYSzKL/iA
Rf86LTy5gIDWh4dbmg19yqo1N6D1kSg+jXtCfgN0Sv110wIGLlmso24VmUy60m0YUCIVU33KWOzK
s2KkkNijLP0+outYWhiYZmC+bSKYRx/tqCwnnQ3zGWF8poLJIymnAzY7wnanemjlsLQplCusoQUV
3wciy4+irhSiIYuliJskE3PyXCuLMx1zNDs0RbSVX5EdPlTPWitujrofcQ5VmtP1zOalGL5ANR0P
59wr+uQWmcx3OMGBw5Q0gdFQJevxmvpMg92GEWFoy232/DiGgeTw2AyLv+cZNup9GgBzPHmdMXGB
rJr1XYJJwzOdZ1QYVJsqaRBoOGGuDTMNf4/co4zezYx6Djo0+E2nyS4FCgzLItj97ThTWZrKVyx5
MFoYKLHgXGWiRBPGZrhhk2kXdyRBo3lY870ou6yEE35CejQRuIMJeRh8vPZAX9Lqu4OTNBL59nj6
yZFnNaFolPrSKwKnOsEBoZ/jeMxf53ROpjPNQBjr0LD05EwVlarBeGVAyqPYYBGROY8n2cpi9O0u
efgBP/cIfQijwxV809q1m+Z4hdGMK9tLZCu2MRhOcxNSFUUwIp+qzpMdEayjG+ZfQ7Zi8LWJyKeP
PCrSc58E+SOFtX/RbV5XIEpBdIQsqkjOvzaD+u0yMbFMp5yqEo0+fJqGxk8T010UwZ3tWMOxCphh
ti/TsYJys8nsbLN2HXsbvUrlwnIdEdk3N7nMzIfbbvDtLPPFIfp40J8wr5zfoOqBh3YO+ZhoNGIG
UpzN1Ra3YkAr1sQV4xaJmBlDXLJN3clNG2Odo2AGekKG3340bLybl3m0GDdCp+huRi1dnGmo+yNY
tfojXKvz7JAhrgDjmXRNDqJEa3WP/bw8D15V1dHBa+074XZkJ82ymN/h7HUvHq1E0Tku85+z8iQa
EA6dxm/1msk7eOYruKIncKBZZjJhAAlLoO91HuJHtqHybqQw2xGiJF99qB24focq/JvtBXuUpAOi
D/FJse1WddaS3pxYpAfRLVUWkDy26PWCiVJ/L3VhipYnxGSwJksTeyRkRj9rBiaQT8iXcm1YHUp+
ZAPWwwGOoPT7UmpkaFfEmBr+bPg36ZjgQ8uyoqCZVEn2Ex5u7NOSybXABFlvb8Dt6KuBsec/WBXj
2FFUSKrxea/DBaW8o4+DnhWDF84qfiJw154zREClzV5EqA/KnU77ISu93V561BYxJLqTA0laUjm1
OZlJcoLkYZmaEQVceU+DSqr7Us14nGm3a92ypAZmYBDTqdoiQcwk2CkoU59SWdQaDq87X1F57CSH
FXeSv2bgdMEOEHJcnBNshikcIvCSXj6jChrvVVZFyz0to+Jco45LHtJ9KRdUz7Jmz5FPXHKY1mjd
moQl/hUJCQAM0myw+2nC1VJ+xJRHGYjNwghhxhDVrkuHbU6f9Agvto0vOgVfsa/ZGTum/pqCB9r1
oJPjEkDREi51MuZA0JOohraqp2b4SIcZ5UAiBo0SU5ZXWu9mhw3ONGSt2W3cdyivyXSF8o2VBwMG
CY4nDPLOVbkhU1gZoECpiNfs0U5hmlrOwEyC0XsaEG5oa3oX7zT+7mFUGbULKp3rzbDTX/dtElkL
0IHd32CpoSGekb2bq0QUr/UOhB/iNg+2ik5w6ueltu4uj/t1OgWdFk+osaDIzSjxd8juDqbLpgW5
u8i/uqG+YFEWJbQvqy/bMECd2oDuh2ydHR4kSwv3CUXgkMn3ebzAyqYWd7muY8DktVoAOLO+fzG2
j6ojQtjzi/ElbLt436/faAC+cJwx8N8PCyYB8xNFuOj0oZ4Ra/OIELCagcvCS2Dt4F/jlqz8V1Mr
XFaosVA1KMx8D4ouA/qaQayuWXTZq+cKBo7FxXDVJ5dyR4hKG+0KV8pMoCI9b+F2ZEZinhSqD/TL
l2pcckObQtr404ZWdu+cR+XTrUTrcNR8JL6xeuy/cw5923GTaKcwcgDxHtZfPX/DHVMUZ4yek+WM
VRUvUK8ANbuLcpbGT3jJ5Q8aqaJvC1iEwFRq1ht/IhsEHwcZAvlHEoDyrYj3sL70Gu6xnYIDJtwQ
BctP5Til/BI2f+sRrRNXnqmRNARzE2gfA9m+MF97027TZnENigHMgZpisbaa0Lr1CuDBAcpT5Jmx
MjOfQ0HZfhsyIoxqszOOhimHlPa0gFhLjwYcOVxN+ba4R7cEkN7Bq4H5VzJF7GErV2Sz4oqt5ktp
0A0/KRGPn7Zp5N/Tdcxlk8ycDueEF9XaClgZz5fVMuQiUevpF4ymXOvSYsWPr6v9Q1BiwFwBTfd2
RaOzYIA3LX2HRPUUTmDOIsqjhmvvgS00JS3yRHTflAOhtBlizh+g1OnhhWlKfR9Lg769n1edXXPc
G18dBqas0dRnP2oAfkMnea/0Q5YCFDkmmg3wUY3R4SNScwwA64BObnd1vWXhRY81WOmlgkyltQDk
v3iElpk7LEyP8zgq1vJrao38QnbYWzUKWzR7YhEEjW3v9sVfyDAhQJZGsvpkXMJB9CiouQoFe00U
hbODncBqAQUWsIBEJAo4ouJkVw3py2Yn8WstixLSqKziv9HXT+oEq+3QP+bbjhGsmnz6Y1VbbEBr
J9Uj8q4A++LRkupEmMHzQCc59k0i8ugFDMDMnIAcsQ4D6h5F2yZ8/EBCXCEpLBlQh6dllL4oYD0E
1fFQ/wIXbklgjSB5fOaaYza4rqV4pjrfLWAKvEk0hn5BvRuWGu2TWu+MhKN+I0pKcZ/tde+OEO7O
iILHJ9pbRHMxNNwzhuoNJt92agQr5S8QbcKlEgv5AWwQNBbkcUKCFgdyiNBv7fASturLHsYxQde0
s/45UJ185WYrKAKJLXhq8EmJxnbppdvQ4EPbgVorsvZKY5uxgy7sb0DdvnypU7aZI/ICI/Oa4nIq
OgN6iDqaUFZIHvd9Kg7AJOrsGi8hEbdSt9raOqokfUiV38zBCzNEh4ihw2nwXftL3uP+QqJcpcEv
dwi7aTY06292B55xRRDWJq+azvGDSyf25lONhsxWO0e7M9V760IE87zEVOOhZBUqzD1HzPh9AruX
/pANI7pIdDX0edCIuGi0rYJpAGOUDwiQYPMV4+nCHmkaK/+oa1Oaxxgi7bwRy76ipSHz6L7D3JZi
MFl5c5oomOJCx9E3WSAtGYRLP5xQIcLtZRy1fgA3da8vPWipHBVDtOfHeuViOsCmz8zY+m7NbphF
WbUA90J+mkG3Lp9iNUKF42C0QvGvtr34DAxTyw7GdRJQC5PzfMYn5rrZwWC0XQ+d1XpFLmcevSHM
Ig5Xl5CFnZkYi/pS8pWvh6GKe0AQzFbRPbOIwjjm/mbe0ONEC3erQoma6nxFpQ2l6oxKQi7JKYJ8
ugdYUUuRPOmZxhfUlQ5oKtJ6nzyqJnL28K8HgZ3UqMFrQJ/222zBnHn0IvXiuiEh8Es28vIH2MAJ
balyND4VYiYfevh3vaw99BhtbGKLlsGMfL+DyNOpkx3SvDUGd3ozx4hf6fZ5onFLpFr2+xzV3ucQ
F7ib/JByJNrnU4XpchHwCXGsZeMhA272tQ5z9blU240i3wOBOkg0hDsQS7t3I6rhHzDWpD/iaRm+
9Su3+7mKfA8OTiHZT0B8yyXzCymPJu53LM16DmNDa768QS40kAYFX8Faj28GkC8iIMCdGCRMvvoB
7mjZnJtLwkn5eR7j8HNkxpmL1fnkwfWQMT9iP+viNDAg5AeyunQ7z+Poy7upvqGfAIY9fSBbsiKG
E58KfkiriX8BZM36L+XMp+IbZrd7f4/uMZNNzcmCiHs1qupVg5OUotErt/VXkew1rE/YAMcF4jMQ
VzlWYvoc5iBNO6YMODiKOZsdeVGKBzsiNv4F4+Hx+1RT0I3ynaoDgnjKE5KfKwUcMjVpc5OGnPAy
8GNm5JoAGoeJAepNGGljKNTv1jQKX454pGXhp2PATPrbukFZ8QylEKNtVK5jeYdScjkUuHNg56ZY
dJyBs/m8See+L845XeVPndicHqJMK/dzn9wCgo+XCEgPSBOPW9Cl0NfvSlp4j07RWD9QAFcvvRoL
jRkZ+B5tjTHI52ye2X7fe4jqzhtqrQOuKNwIHkhb9kNiwX6yPVl0F6dcnGuOFLsrWxzG+ykbkhTQ
brYkh5u/hPi95YGPMDqhUh/zXBXhjrOa0tACH896kJWMR3IOhmXwwbP6J7ppJIXtJIl+4zZGP4W0
HYtIJrAV4zcVsHoeA0R+HJu4RuQOg3/NvTIpKEvbDMC+LcU41a0UMtYHVzj7wSqFDSsVA47KqK6q
bnI8qQ+cwQqxXeimh2YzI5YwAkDlcooYXgCiZ1YPVSzY0mUXwyvwGsmhxn8QFypqcGCbQ77zND1x
GYN3GoM1iRy+CePvtoeelX/xJtAEHeeQ9h8xf5uewBZxeUMX48a7ZdVp3ErwudlJuLF+gmys6BuY
lydw9HSDWTr8hm04VMP/VJAy1Q3CxbPzSObos59xcDVahtEfcEb3PdquBIcasOUY+jwwOl4Hiplz
AywgvURIEJxaCEfTol1sOjwyuKXx47pb508ZRiJbs/dE1bgMoLXDBquAziHmQNtLv27r0opsB9CJ
cG/wXPwCX56TzHb4qQI7jDjGRKDEH+D1Py2HUMAUGkEM2yxbkzOGTsPI6QVqRyKPaRTW8vtGCvth
xtH3xZBxYR0UhHBpIcylDzRBAFcrqi182ulckSv4wHTESAFxmjeX1Tjq4GJD7aVCXpk8OD1W5Jyz
MP0DmAHvSlN3205uXCVMTphGQpYU1clSTObaWBhRnxx4zGinJjaUyE3qt09WltM/vc095qkYWpZt
2pf92YNfbFqFJm/A7Lo0/JD6KrtbZx0wiY2AlzUDlNko5EpLixN2+5LdoVqFzs6uefELnRCsNpFX
MeXoOISvrhBggULSTxzztnI1EzBpfjPW3sjCO0yVqhssmpAnobHkW7A3cVAymHxcza0BeojB3UaA
qCeweYGH4H6koodTxoa/8iIlWUVbTmKkFz8Jeh+XbKX3OavNr23MJNwXVxGJKyo3AdgCcvzjiJN4
OSpJK35G0kTtgKxhjHqgwXv1RMsYPKUJn7M4laCwZsdKYAaIGQIz9xgfAieEO0bymw9jiucpxYYs
V5P27NgXDvSF/+PuzLbbRtIu+yr9AqjGHMAtwEGkqNGa7Bssj4F5Dgzx9L3prOqy5Cyr6+5ffVFr
ZaVTJkUCgW84Zx/HrfSFlSm26ZHhML+Oe2NNzI1Pz+pE2RowiLH80qGnglqwhcPKJ14tXnIcltaU
26HzzU9ZPbUecvJ5md5xKf2NlAPXMkgkMAqIHaFHvJauycKkZ7NUuG0SZkoDM5XNSFz00TSyCf9g
I79JM1nYVFti2DH4sHZL49NtK036mg98KoWkfFQAYC6Kpi/jehrTx5Z7lgJeyo+WWXpbd2jCKqqS
cnj8sxDl/OZ+VfvxsMFkxxsHYYok5S2kvaxW0iDYluwa7J9RadvZIRUiZK0zOYdyKFmi1GJhbsry
7h2JnHgrfsSLe1ZaAvNmO8w/v5ECsaTSgVs0ejd59nCjPCRqyQj5O6pLEI87nyfWgjqc7Xe+J4x1
Tja976/+vhKz4+wwN4BwyOzKHy76tjY9lO4Bo326bCRy5Om4HDsU2dklDzp5N8zV/JALe9bXVpYH
eUS9OkOztkj4YTmUqIR9hg/KsiIFnElo2U79Lp2SIIBcJAMWLCxpvG2fLFV7Lcs1fc489+zR7nR2
WIwJeThctvkxw5xNPokevznImWIGuvUzIlh1y6Kj35pBvkhkLZOH9mQYhV9HSEvHli6Nj5ovyc/u
KFF095k0ND/YmCNbuAgXQ/5ZL9pu1ohi26hfGDrjDB9czxBx6jXFt0rX6NOt1TFv1ZQge2F9m0/3
qewnvbdcZFec0EnzyVsCHMdDMxufUK6gLjdl6ipG2e7cMGQtDQbaTpFYQGy67mPuw7R4T3H/m27o
/LWDgLPPgIizrfH1/eIy62X6LrB3lsa444wNogI70sHm4986Y2ltZqGnL8DMP05+l313yf/Z1VJf
Aetk3Vy5082c8Z7/fCP85gg5X40AmoAAwLcVaPBfv62UmYnN6HDZIUJpr3mYmU9hmo97FzjLh4bV
/b7jaoiYMIBxnVTiPHn+nMQOot3YttOpiOy5ct6Ry70V4/KmuDX4jGz4UTCqz7fQL+620W6JicWk
vzPKVh77sFHnTqHLDymHYjTTdB48FDfvuRDOd97rU8HDykeWOIQwnopvHca+GCmcXJZZQ8tQO+sH
Ks/C7a/R0iMnwe/MBo3u+YPRldmxc6dn/pr6pgxqfSF9Ye56wwpvvcIctrovqJX+/FX93bsD78FZ
C32JL+zNBWQhhi7Yglo7TtibuaiHIcqgL1+1dvlumPtvLkuqPaISgbJ5LlcGio/X30DKkjl1lOTQ
Nkb3ixo6V+K+XYftCIHxm71Sq3VZY28zt12v6sZkIl62gu10orf/7a9NdAgPGcb9rgnw6o03aMzH
dnbNdNkl2TzeF7TujJuyMIyDTuff/vxavz8WCDFluWgi08R8/PZoZjipUFekeueIlsZcIA+N6slh
JwhqMuDgKdIXFdDxK4qBd177Ny0mCn1ggz+FkTj339LbhiVI2DpxzavMTe/nigVAYE8V0WNDOWwh
vhvpOxeUbb+93vHSM9G2sVzheiCa7fWXbKlUA4ODCqtUXvINAjhKOZTMZjs6FTU98TDTQUnfnBD/
FV0Tj7XV7Blg0eLTEpmHOnCpSGpTEaKIpHv0bk2jKIbYMjRjyoJygKuGTYCzTagVN0lZ0vJl7tgP
R2RkpfGem+TtZ0gqL7hGEcCURAmNCfT1LzQW5EI4XUoDj9T5C/0OzDi43d4Dx3992ZH8+LELOlSW
1cqZVgkytLwiZJoBdLGlJDS9SDkT0+BOmldKGc6nRcj8HX7t373Jc+GBX5H/ofV+8ybRh1cVa+69
ahph7dYyU+uj2Rgii81xsYYj5jc1fv7zlf3bDc1HwyVKdDA6bjvA1/76VZEvmb0L8WffNqo7MPlp
qcxc754aLdlqFuZXjp9MFwRkyiGa63PDOAtHEkPPEOvP7+WnOfnXc9YHM8t78GlM8Qlgt3j9XiSE
y8Zk/bRPLBN5HYk4y2UzDPaVV0gtTq1vV9mlpucrrrkjEmuPAy8HTEnvhJdYsMWISLtkqoCTMZxO
CF5ZYqAh663LqSXuPl7LgX9j9gPHuFEM3jX7lVLvfCcYusNsc5xFjUzN9MIe2uQUZgg4Il8PjI3b
xc6IC0XkII6Fyzl3zK3CTk4enMJiM8zMdyLtzvARMiZzNnsGxyD5oEHLS0FLj3VCfD+8eKBk1o8S
gmF+0/Q1A91lWPVlO2Whf+m4vetc2yNCpsyDcXiSXGpl7KoUP15jELTCg3byHwUe72Qzh5U33yJt
I/yQ8SXOCDB8/v7PX8lvBjyfx615Nmxg6ackfnvKruVYM29czD3GAzOBMRC2WcTcE5uZNAVEK6fD
+xd3nhmQCQzay0AQWAbQ95NMlZfmEsxofjqzn94pBd4+9TiHbUeAYTqjIJDPv6lPsHmCll7lutfl
mG7GUbYYUwvuVnl2qr5zgPAg5dL79dI8h4Z57LZ9WhvqD/HmudesuVEN/ggOOElFdxaAWc1N0nTF
j8ox2nUL/JBMtiJHHXaniBR5gvqZBUfFgFDerBOGlH2hpGd+koGi3148xEZ3zN/S67BCVhfLUE7u
ZYEmyfrYGHW5PHRp1pXbjjJ52bbt0JtbL2DHsfFmk3J/WGEhXSUN83aMLD8/8AYI2LU2EznFik8/
34plluU+KWbDlvyYV1hPKpPLejEMbqkfhYX8O5o7QqAjF6CJdREWYb0nTMfUm/N69CW0kuD72CRM
UaQlANlJpnIUdvW4Gls4bdUnu5LW3rT8xD+W1ooKF5MW+RtdgW8Joz1EE2p/Z7hBwt17rM+prfZs
xCrycdJV+eyjpBq2yjGm5HFgab/3mbuXsbdWzdfFMad6hwapD9Alt91D2NsYUrrOUD/aphJRq8O5
/MpTg4lPFTqqemFNY3fxmGbWw7pkeRJTDjn9c1t48iBpn6qDq7zp3mlan8dakjTJwRHJ8s3hZOWI
b7DIx06h1EPg1OF8mNkeEswWyuHl/LAKow6FaRp7+Wz1ESE/QRn55Jf9sErbZBSbjev3GhXlB6cs
evGtIKhhiYy084loUElS5Di7Zwmrf7BylhBcLKeVgSTk12Fe/EgEeEu3yG3KDgFWonauqGr2q/3C
XJHlD10M0h9lxHaQmdDTiqqYcfs0XcO78EyHxyifOP6VIJd7n4ZVx6al6o/Bwhw4EtVkM8/y2+QT
D0jdnMu21CClknyfrZ0jvbmQS77aT5hncRzbepyOrtVnBzEZOtii6wvwUbOu4zxTeRtclNCOKki4
wfB9ySf2jpUl6SM7aA5GhACOvQPCtXG+7HgApbtFQt2KDPrf5oK5hKgvU9XKSzJZ1u7IjF1gyMoE
1PvGSbMvY17nLVbjGQacRURKFRe9BYqczkjomDObryGtPRcp8bTW9ob1pby1M8TvzHW8stgYzpwP
W6Py1jZ2/KH6YCJ19iKrJmksmAoCSWhvve86txn040wJ2nhukvWm4sfzTcOxGtwwI0cIA5T2dmlE
/5nu3w/Pk6mVK6AavriF9uwdZRS9jsBxHreuu5Tx6latYEGcQuyHGRHGdl1RPs0pAOFt3jvZ0bcK
q4AeOiG3M6r6IfTz9VAjI/iGpqQ7+EVA+hEeisLdkZNkhocaHDJ6lr5Ec4lPJmg3Bn2sjnOXmMaI
TaFzymwv5Ck91QiBR29oUergj6X4hq1wnIwufWIcq/orObbLvUn0JEzLqrVOSDqNHpaz6OoTg0t4
kUILkdzPtk7Dy3wacm+DsoWLNOi1/bG2TCZqQ4aBMGKgxsddI1vEU2ZJEut7ythl6xfLwvIKUl3P
zjspbo2yTNeLdWG0hZAtt0dEXkw6sPDgU4hKLxn5NDydITQKJadQeJbziMQdTnWbrfMW6mXmMIk2
6jtU+92Ly5BMRI32vPtsWvw+dgLZXOqzez4yKRGcjSjQjkTdUszPM3KA5hgEE1mGWAFeKmrSOl5X
o9abus1JaCE4pnxhpmUuMdMXV8aapUwVY9uCNt+H6Za7gpHA3NqwZaw6+1gWGF4uwqrLPmJixEKT
hJLUMbvU7ZMk5pEIDFssnHxsE2uuipJr+4y6fpyzDEq99JP8uenBDME785Zyq1H+7HS+VN1WVEWH
ww5OdbKr0zzTqC3tfL0b3aoPt0npu7d1K1lx1G7a3A+J79mb3qzP8hCNVjo+73LGqAJKkzG/t92v
YJPxXE6VFu3Bckf9MvspZYgzcKVm0Lz85xJBPnKT4WwyYYSPK9EmWSlKp5kFfrO2q4ybwrF3a8Io
NLaW0Nsa/IsmFq1AkJuaXvfVTz1qpKXJAH0gmhd3c7Fw/NTpmHyqKnb1sQJRxPEThAgdx9nDY7Lm
+lFD9qqixe3tD9RtdR77E5OIA6Sws549xK8Ua69vNkvKFpHxlW3Y0WK6BhmotinKS3ZNy1O+sC3l
HF+W9N6TQ/Gtn7V1V5pNl174NQRODixDVZFcEst7ttirtFHQQwk6wl8w8FX6hKcObNeeraLGpT+h
52u2rDr9jbmy6pGltbTPfZva06YPalTpHFNsm12YhPA91tDVt11typ0RIlyKSRfNMnISKJUihNyW
uSMouqI5ZQtg78sJm9/sLIG/S90x9Xd5YxGXlw528x3H24Agpmz5nNMOTQRym9IPkCSKLRam49rD
X8BdqXCGaTtbzjPspvsasIQ1Gfnazhz76+KJi8l3EvehHQJnQW+tJut2sXXgPyY+l16M95eHGign
ZlvhRIyMIPwMfFSeyHs7x8yDA3xa9j3Vw8BBjlWLPKsw5xMZGX2KVml5W7L3uw4HBEAbPlr1yVkL
IymjQhqT2GWcEvzMbIUw8KRRbnux4A01F9sceJp2fXKYMqPMLtPKtR6teQ2rA2N7/F+M68evBTqt
Gu9Fl5h3gVm5W6FCcHiIkdIeCRhE+shqu+fRywp3m9aI2XaWSHF7rAEgLPStxdnhEVYsz0op7wtO
5a9ov/OMD9Fx/f084OFAvltnOxKN1ZNIzeSrZ+lwuUj4SrcpEY6fCxpFveuyqvkuZIDIr+fOrOJW
or/CsgDif9PhLa45nApmYfOcCRO1B88ufBjeqOMJY6eK5rlbLgUtD9tgS0/zhWH0YHlGml+6YYBe
13YJrucRXG/C7tZYOrEbVeN/GIu8kjvfzTnHSt8Z+HkzLB+FXueBx0+oT1NTwOcEBlQfSlLJE248
xbc21hJVa+P5pzaBJRmbAYaHXQJnHZ1AFmD1CxYb6bORjzlo3nZc9R1mvhbo4NC75WbKFhfCf1Gt
7Nn9MCdGCZDit6WXXRCtGVle+3wpRM91PjDU16ZA2zkGXAehbD+Q02FL5GhqeJzatdRUjJ4bV/Z5
QpRyn2WxXFvW4VU+LujOGJ3VkQ67pdtxpXAHSYeWryr0Op1Y53SfAVzhPLAWc/JuDJbKcxxkq3Wt
EdRx9GirXTZ1bWXpqSZwq4/8UiefvEl63zuOEy+a5txrLut1sm8xw7Hgwfw8Fv6lUTtEDedtt+TH
IAP1uSkqDusTXIy2PSNO83bL8yBzt/Zsuck1N70O0M1NyzYcObSuDHbwV1a71t6lainm79xGGhh+
UmCex4D0sWFzbqWRkaTBVMWOibJsZ+e9d6JK1usmLEwXHU7eBC+GXFKTwwkJRFQDhgkuUlmkOIDX
TBuUG8CAtquBureOBOua8DpN6CM2lm3pIF7motM3hecvTRQ4iQq2VNWjvqBATwa1SRuF7x/0g7XJ
bdQNW/SSrbGZlpJCUZqYVV5aJCTerpyazuKxZRjOZrDd8QqktFEdKwaan7WpbMbAqsu+Jj7fdYy7
Ro2nhgwx87KrnNK/AXnkTz8GL5mmbYGMfzrUuXbvyKl0SbaF1cKpj8JtUdGK9qPaUtqEH63UrS+W
NDODiL/FxeM0AL25zYY0YAUx2bW5FQwtqm1uGLjbXC8f5SlzZZjfl/6cmjuf02s6zEEp0weBGfNs
h2wduc0KEhZuMo2e5KqCFlvucIfI+cWaZEs7PqxBWqOBBv0jyjSZ9izxGnlfgsfGHtBNjqVY+vjD
uvP9ikQ3KZcyYDWbWtgukWJaVP0dKhWE/MZ8C5+1Z6RV5s2dHAdk7ALe3Rw7M7urk5yZlz67qdvc
oX7E665TpAGUl1n1Yq4yI2D8z/367zMkKn10LFZAIF4IReP1BKWWmYc8QKo9UrXmGgjEpxYD3xyx
MzY3bba8B+c9D85et8UBewI4IgHADohbb4AdIc13SbaL2udrMT0NTpbFPAny+zkdyb/rKDnjsJ5f
4MyoK+rd93zjf/fyDACAizE6YlL55tdVgc+EuWcrYWYz8iXVGCAuBtftH2c3HZ5Ca5A/yrFBOdVk
w8lwjB9//rjfvv55Y8N8BDE3CBWM6+dB6i/7CMana99jltozrmmCCAcXUxjqsQPyp3ELxaPb6qCZ
zmo8NPXUlt07I7O3Y4nzFIT9DMWOxVSanK3Xb6ClmjCBvK/gwlCTI7mWRyNrzeeQX/0U+Gr66PEs
fmfy/hs64fyqjILOOZ+sKynzX7+qxJpn90kKat4ontjYZMdprseYDOIh25g5JgeZB8FlbgHXKJF9
34OWqN6Z//z20UPB837CE0AYEy12/vNfPvogmDEL883sU8rQ5uj5QN0uzVlNcwwAsdOXHeSo+j7t
3P5bFUrzBqTKOOz+/P3/HBz/ev1TVAE1AV3AHtZnSPbmk4DLUjdknGQX+eqtLn1UQvlt9u2sv/Ve
N0/3yFZsEfeMU7yzR278YVOJZ7sSWNN4NeaDVV6V7mwbt0UdNsOPeWxLTMCZL+SldEWhLygB1ima
whECzNTqcpskrVg4vFP0SG7qc+Aa/aq2RYcsJjZGqzQvNYEu6M27tJl3rWv6yUUOzKp6xH7hNi/o
xAP7OsgVxgsvTZS8YAbcAr7wwVNdlELNblz4TEF2qgndEgs5jsNoMdyazKzE85pnFu+rtVXKrr5h
HTXHaO6RD8Yt4LAHxu8W7Q7UlPKyqJbEe2dK/ttiUhC1xmgeZQ5sHE+8Td40EdGuophxloF13iwo
Y3ZJE+iN19nZU44Q5OSVDSk7Dfk2DdX1DTR5b1+05925WrO4Mdvm4s+XgfXbdcAijAXcOZiJNC+G
A28OglG3tTTg0O3CIYDzNOM0M45jnVvG07hWcAFIRMYZiY6yi6UT6nqrBJXRdc+8jHukhhX6tJDF
1h+Qta3mHvWO1UXuxNDjG97q4SnANi8v1oSB0Xauje6jIOYBteeyeC+t8gKf2lV0z8bQl/lxyVEA
l4Byu52sTJ1cEPBYmpHqbEiwi10jzoCTgeKlSlZqQ8nYb1tmSYtuUBWTuMSuMddHph+eezc7+dLu
She67Idg9GV3oOwcTdY3TeruMLrPRjQaeXAq4B+6G1D23rPd6b5E6NstPcNyldQfW0sQj7GOrqLT
BeDR75qc8QkZ7KABMG4zeoqtcfTQXFj2mN+uFKriSPvDwhvwtM6365L36sa3+5oJYt31927emjxQ
keesBx8QkP+kLLhZ0sgdxFPoM/xHyRf1NE+N83kwPNVeDgvjl22awmtDAmsn6a7WrFdQSA/oclO7
0XpXIi/Lruexn2mQBx08uJO7enHRSn0/cGPVcQNExN/k1Abpjqg/pmrCq+aMfk6FeIhzfAqIGViG
sScMp2tvykOyiUIi1iR8yH7Lt6CTDR7DtdgNXqA+t6V0yekAuXJcLIkoVqX5sFPLmvsxVRy/QqpS
HwXTDK8TgYA7RGFSWcZ2ACuf3Uw5iJtjY1Zc5h6CoikWsm3mr/BOUe9HXACwmaGtjqB5WIQZzkn2
4bl/tQbiHlnjlXv0q8F6SwiT2UaZIYYXWjIKYaQvKOGGwk6XGzmEnX9vqaY8ImayUI4Hfpli28nU
HtFTY+0Sq5DpvjYWy7vECcgvnQGJy64BGiQvWN1hoIcFIc0gGaBRVb2VfHfTET9Uuc4Ixmaojceh
XMRwXI0eKZPh1/NTVQxKREyCTfXOU+xtqQTgkLrXO4ffnMNTnDdLTojnrZlmWkLXAo4nl7C/0z0p
L5Qz+lBzof2Xe9zz61EnnKFefB+WePPAohhVarJ5PacinR5+8dcVn0saozj5knr9/OXPZ9JvS1xe
zyfRJyQ4At0CDNbXD0hhhG0JJAY3nPAwzoh+uUlluOvxQX7MK8gyQK2m8lKFUxOF2exa0Rjay55d
e/DR9uXnQpg1DbLvbmYtQMzCjs6DuE7mLNmEKOVi6qHmVLRTfUqxReM3zdznP/8Ob9fu51+B38Am
zlPwz+abU5X+LElVAXVPLmBfcBtYO4EvauMLzcxV2gDRTMaAJ4UtYf/nl/4ZWfXrkx09DsEMpB6x
+Q9hsb3ZxjaNQhepEn9XZ1hukC8WAHKHucZBlpieCq9re8JPhNwYqevgS7Qexpzrl2XsPLWxRyjg
MUUjZKeBHhujnqPsC5pMvA3gt/RXv/S51nzNYAKnJ01MjL8nTHeBpxAzy84yrtqM6FSMD6U1RX/+
7X679lkC8NmiGuEIOif8vb42jHpKZN1MLe7kNd/4zHt+yByeq2VhNEWJbuTv1KnOeR33+uOENAjE
HhUaFSM18+tXlLAGwQ/Jbj+vJlPvRBI3EyhymSmCKh4Ebj9nl4JxRLW3Ze/bUU5h5WxwADlqa45Z
scZuY2Iwgc4Rstfx++qpHkp3RIGQYRqgH8OHLFIHk5FmWf1kVGp5lHaXyQNSIob1WZPGJV2xeYGb
r6JndfPxUKDh+NrSHW7n8/aY03d4+vlR/zMR7Pav3/FNBNmb//v/ayLZWRP2v/8V+/VbItl9U32u
M+QIf8Wb/cwwO//EX4FkdvgPwNAslh1gyWQ2CO7t+fs5kMw2/4ESwSIbJOBCISbE/b+BZG7AHyEP
EPR8IZfwWSAw/BVI5jr/oCsJTNpRn7aXDvi/CSTjknx1vSIn4j0ImwP0nFqEeOTN9Rog3R81NV/c
JlJ3l0JnpNu1rWs5F75h+Pp2Ioh99SIxaFndt+RwltdYEnLbJlJrTuZxo1knWt9S8tcBd5VJmF+M
1nkd1DVWVW1D3Oz462SeJix2TAMgKCdG+HlB9oFCuZRWd8NSKbVOq7loAAZ5tZToi2TPsKMoITdd
MYN0KTUcSHXNyStciaYaS9fFlLcSvfbUNJY42HM63ONCXS+bQNV3Dqw4fchU4bKBGA0MVVXryd2K
eu0GMXIXUA/gxgeyjKKn+sIgkw0ilKJ6Tk6JKPoZdJ/DOO7RXJ0yue5gJLT7FI2nv12zFSMiPgmG
joEY8GKHZlp/dNOKQ9RG4LNc1DSzYUQFAyVt9YHbxFo5Y7HRCxQf4nd1oKKaODOWTUZgyF3lz9LY
SSxr7QZZ2yyvyjEMrypnqT60RaanXd8N88ks58aOCmTZWFQgDX4aRz3er6ySsfhlw2LFGNid3drj
T9xWWMLcHf1JBiKmDKw1QlA4KYgZJkLvK9du5pc2B32L06IX2baUPQNwD80PQB2l3O8QsNenIg02
MiEsbtNnA+JL2LR3JSiCk/Yr4UY9hXKCEM6S3zivinxvJDjlS0xtgHyG4TObWhjAhFbCmwhcnp+u
fka4HYmO8E2P8u3oomPs4PN0/eWMFsbGuaeTx7FO8gMMk/KKlHh1JyoGczA1HwI03c8lI+Mv0jlP
FzO2O0jEyq8wjSxE9uyzWG4VeXgjeJwu8D7mM1wRivSlmS/5p3IALhgLiG9LjPEBqnJPKOgPp25V
B8pJiweVYvqNavZVfMVI9yHXioXdU1M2Hyom8+a2D3meoDaa2QGTCsunxZV7Bc5kQturU1ap6dQR
jUqmj8JXw9SijDy7gKIpKQ23umPBEpnuCGgIouV40YNPwR1hV+P9QiGrIisLmmcFAnTmuy70I90B
NBXszkADRpfd3hmhUF8jCLbNCOGJ0juWsP0DzJLsW2Bn3oi3KJ+e5zRLO/wNzvqgBp+Up7RnrknP
1oH+gK2On3WAN/6NdPv0seeXTzd2stjNHnmLAvMyr+2PbpBlsKmSPodLEzojtnAUz13t5WKbL26C
KGPwabnor8qPmHpQTYX0ojKyjca6rGj88ftJI/uWAJBZT2NazDZVmOPfWXkhH89M2D6e/DzZG2zY
P+PID/FeDEPwlMGO6qJ+zdJ7M2DdsjWNLr9Bow2BY4JD86VK0XRFhuLPIlbWQKBbMc0nibT2IWNM
ed/jrRqJthrsA0OHZI69yR2eoWmRSCE6tV5MjeviwamT8CqjqYAcPXT5soGjiAjF7WDIxJjMzJvA
aJNwl4+sGCN7nVt1tDsQZyANjeFbOxvz98bpdXmoceDIW6/tgKpqy1wThuicb1904tl9PHh2/Uny
HnQETdTRJ0MDKIsXmgDWYE5VfMV87bKAwZWNxYb25HFcpkqgMiaCOcqnBnJTN1nFo+VjhNiMlaqe
GQER10DAV/C1Z0tzG8zE3bNqZkiyJVPBITVZpXSeBoYfXpxdM+vSsn0Q44TP2JwDBPdGYqc/WOTC
FGMj1Lz4kgHvcQwmvLydsySnWjZLsGtZHem49ZMBuBNGDDgTfpEO0TA4HaR/mjYSqPwleHSgBTB1
JyV4QDUwVdcsXqdwl4J8vkgWCLWRtJb8tmsFRYyTlcldUhoY4lyn7m67sZMvPh0dDQPEfHnBi06k
VZhukhyG1MF06/G1jZvJCdeMHtNp0o3bJeXnypzRJvQz596m4+Z24xZjSrkT85zApzVbDyut7IY7
X1s5Uu6kwXu1pMB8Yzc3XcGyrTSODI7OQEJAg19FIoNHMJLjd10F+qrERFDFAxTxT0M+4TKwGr+h
Qist3rs/G1puehR7wL2sQG16dk893bA10dUV7fqBiYOX72fPIAYxXwVRsQzvoZOgcMg88HZ1grep
Cap8U2B7fuJbA23owfH7Fkw5p1Hp6UnGvcNhy0babR6bru4voVliXa4WjUVynIE27duhMO+lroNl
CzISKGabu+qwzgJ6FIbE6V6j2kKOl+QDY5V+ks+lqeSNWM+DgHa18QPhIu0DsICNvnGHOUSH68iZ
h67FtI9N43zMRI5ICla4BaQPCLiKV12Nd9QLdhvzzBUv+M2dj6QNM6rzRuC4aAMDOLqksLvPiqHa
PSzGhVNiyLhcBfbwi9kiSRpkiud0GxPoMXtjA6NqPIeGizC0dszP6Hl6i7H3XCNTqCv/tl4FDyGt
YDKeVlnCsnCgt9waBW8n7hnuqg2wpuEJXI5N0wt3bsdTDfTl6mTWI4+upjh6k7J57qEz2WZp5hDM
jIWvpfweFMQjnsgtePIeJzDjecV/iCHoRQdQq7ctUDxUbSEaaSwoXDVV187rBl5L8GOSJV5Tltus
thytEM57YN6+8nfAGqULsz9KN81uW2VmzrZEcsH9xZrvWC0oyuKgTUUC/sTLPoR6TBMueb6RrUsR
0W9sXQ+XEErxEjGraDGCrByakbLM4ov2lvy6A5MiI7fpXHAELt/ips3r8c6qUdEcq8Ka9hAt2MWv
i98hPg1W4EcCCyObtdzulziVSfFiOajhNobldScWZwoEstBjFlcjzJFoRUX47DVKQ0/MBuexKQCM
7B1h0+DUo6HVDqFXX3J64wYmjTTDC7C0vFJcpDmDY+WutJFN3YoqpsGRw+ZMznjwMeE5UYfDHzpP
noa3Ofb26byJz9wT5lF21p7wbbX1eiNYo9mnZibQdLK/sFCuLWqMJPg8FFJ+GhdldcfCEwNqJQCr
EINgC9+DreiZfwVsaKN8XDO1Q5zm4vTpJnXHuKyXR91VhjhULnu+U6+D8620Wu2m5ZGQs9Nkxx6B
0gS51kBzJaAC8sg9kxTn3mdB/mkWlRijc5jc3lOqyndtFYDnyJDx+belABJ5VrEM9a6CMkGZi0Vz
9K6oWAN35/hL4Z90NtXrjeMWgBYNALPii2B1yMNGW0agPoDAs1ntoYkwxUnKYULvVC056kczqWE4
rdoJj642GkQzPWDgXabM2Tp0c5CwHCJ8AwUAIrR0BwEjCB4I6g67E0ju1b13VsAv8WiZ2n4nsYFG
5peemB6DpcH5iwFBje7R889//ssKI8lttrFsDzfIIKwrty+yTQg38usvXdc/+89fw5XfbGt+vgz+
RwGT2OS4RuT9+mVC3GCDMXbFBgvLSlZaVi4fLDFydlJy5s554tqeQMqx6l8dSkSzn7tNAufl4b/v
hP9j4varlO4/Jnj/T8zmPkfo/edO+MPn+n9dfe7REbxqhs8/9FczbNmkczOQCZHa4rkgKvhfzTB/
ghmNlS6TGiwg6LD/3Qw7/wgZ7dH0kgTHEu6ct/bvZjgI+avY0oX/bKH/1aa/Glj8fTr3T+PBv2c3
DMJwcrJwsc6+TuGI8M2Sccy92vZnl2ZXEMxd+8iBsdGyPKqHYAPbKdzbKU4OK59ujMnbW112YLbS
7ky7eACFtiVi64OH4zTy0HGdyBR8ciqe7U7F2srAxbJNQ6Bp/eT0B7J3oYq4EHaGbiKPpGDkKIzk
e2nPbmQzkaPQQr61mOIHa7Qom8LqIgjrZ8FTDlkDZmtfWR8m37wgMwd0rAFfeqr4b7zhYysVKstP
qkEgY41+hYc/eUAV+9dd/V8NfB4aUjCrt6nyr67x/7c7Yf+9Oee7D2//qv+JN8F5+f+fb4LHr/3n
rP4/1J1ZcuTGmqW3UhtwGeCYXxFzcJ7JfIGRzEzMgANwjKvpvfTG+gNvDVKqWiq9dV+TXZNZKhmM
CMDxD+d854/joPVv/OsOsBn6MCA0mA+yUye3jmn1v4+D5G/mulRjgM2NYJPz8J93gCN/409wZXFv
8IdUGP91B5BPz3yT0fa6oCWQM/gn46D1IP7dDbDS3FmvB9xSFpsCZsJ/PEHLBIuh7NsRzbUMzhjZ
7TPxen8XxvvfvgqWOt4ieQRojv/4Kl6q/DJVqCQFKVsCaAtN8AQK9+N3H/t/8zz441B9fQysI1/P
Z5uIaAJK2B9fhvYWn7ibDEzRKROAp9SbqIzFEUlaeiYOr3sSVPkXDK+yvzWVrnPlP36QvCAnXYCn
BJnKr162EttoYRT1QPnJgfgBi8tf2EM0Pso+ZjTlsqP6UNMBVXYx4UEI4mdttuZbJcsm2iZlB90J
9nUxbWLhIacuW4MsCkT6hKKGf/0x/fnb4OBlo8+LcIr+aURukzyAiNgYtmZi6Xu59kYn15gL62/M
pevh+cePxEGlwDqbb9zjZX75OrJO+uO6BtjCu9XoLS05OTdSl8145cNkb6HS98S6vCZMDLX7T9+k
71jsN1ip8w8Ow3VP8LsKpNc6Mxsr87deJ9wt4iTvwmqQav71R/mnb93n4UEi6CrU4UYOfnmVxpqR
lpoNGjQv6zAx+zATHEs9A5d4/etXWn/SHz7MdVHkgjWR7PPkn3yazhyokt2DuYWNPjFhcSPobwPo
BX+axEWROzjG//oV/3SZcFRxLVurAodH7a+RsCkTwR7hBLac2Ua5567yE7cWfyN6+NNF8vUqoAlY
hzHg/oqb+9335OB0aGE1gUczVHSfAffdF15qbLMptVhvNM8W6NLbv35nf/eav1yYZGzYs73wmtJv
QIuVwNvNvPlUpeu+aD/Hfxp73vmfviZHEu81wG5trGu3P16PwI9a1uBgLKUvovOQLfrWtJbpnIva
ZloIoUCvwQxjtPvr1/3zdeMatkv+CKUXldOvZ2JcjYIETZiRKFGL+wEq4DtKUjfk+GXENIB8+ZvS
/0+3BCcg/zMp9iz2m7/mO9WwsbuicZwtQZ7qxgxUo7akxWZYAvxMnP763a15Xn+8MWg1EInxQoGN
m9dxfl12gzhHNMPkjk1lBEAaA2xWnVUm9PKS6ZbwgZg3SewWVLfqIHUB8U2Cli7wvrrB0THbxnyf
islwUKoy7mvPkPv9GEW6N4s9wU2NtyE4SCETmhSsWEQo5F2arRO5u2pY4yE41tivzV43Wce+J2UO
gTQuIOwNfdpuSnJm1E3bMZ26IF/arM7jkljWi0/ONaPauNh0i3XCsBSYO4ugAp5bEBDkkWZ40h92
2kwFzcw81pdj7TbuEbVAQKaPG4lPsy1ZWmAeUa81tgzn5BIQggPFQdwQMuQYKgB+JKRuYqN2zO08
kA7LIDUYDmnRUu5GJYrh0CpUn19lRkB2CUEEsTzEwsluxybAQrd40h+YroyJtYe9o16BYQqxz5bM
UXv2wbZ/aXt4W0MWPfiMTHT+Nz5LJ1ZJsdE9E6rkeyyIY3jvoVdhuPjkdLQne6dkjNN0E7GY4aNV
I9PyDgC7Zz9pYyKdUdUzoTYSnREoYVhicmfQLWBg6Sv9PE9lFR+CImeMAyQUiGosMWxcLPQNRzn1
Pfrr3MPuvECJugsUhIeDMZvBt8j3dK+wfgyNi6JubD3A+sXkmw8jjwvzzm5gLSI4JGHlsDBMUVD/
wCHGOxHkeoSzGSySJMFhEJdjMkExEYIq+9GrAb/i2olZpPCYICGr1toFOmTC/w8xnbj5rTS7Chht
o20A40bBv0ctArhtj0CEuR0p7y9ZJtDqRPjGLrqO750I3kWo7jICevVIJmnNtiED/43Se2ie/ahl
GQDeLQ02E6aI/NpB2z3v6aki4rd4AIZM+Qtyr7RyH1pEjSxHUPTXF5zrFBulCpCtVG0n14lM5by3
EHrqTYPnAjGNgqf/2mht/4igKc6bEpLnimEoynQjSwNi7ZRNzTMcNfEoJXakvWWhYgf7vHpQUMya
OHrjjMEFA9KR9pvL5idXPrYXtwaBGVpdFD2TP9HQ8riQrdDoTWCfFmCuzTaN4vSM/GFMNtOg1V3V
m/gmoORHDWlqHs45PEO9dfCIPXmpi6rlh+QCd1JMHjZsVLypH6y+zOA6zeqV9C7d2dtMfk6scdYD
FgmXJfHGDXNi83sgeuD2ULnnaV3aWdaG19GfTikXg3VfwcOIASQ3Q48asSZ/zErJCsAbPR/TxAzs
fQerWu1ny8cpyDp26W8UhRXaqQQS+86YuW8eS4E98p6HYJbuGTQl/YbnW3M9RwHTVyBW5VsPgftV
DGw8fCYq9qFPJ9ZIbO3z9AQLbZxQlAnpP0nLMs7cusabHqF971ol5EPVxUvwLZcA4vcN0V8i2cC4
aoNvcJbK5NbC4ExexmBWCz+nNPIOqruKnCYBdWKXQD+NsX0xcWJ1t5bXt90FoMH+YbBiJzkZdStB
0zDRTNZU0JyH8t6fCxmfLFmszjKmuNmlQi6d71vJpvS2iVOvux+9WtpMNnULaqZcGjDsDqFO7fcs
z83pUTRpVh25N6tiB4Pf9n+AE0yjPSp6cJyyj7AO9LOYmJeP40KuTqW66p58MPaxbWkX+8mt9IT+
lESoBYvKt9RHx7mZTVYUJ8Pp8jvggmRrmpHK7ymijedksTX7FF/h+/MgmW0NRHhn3zWNt7o0px8u
Y+qfFVWAdXDaJrlRk5+qWwKNmo9MVOqbU1vjncxVAG0Qy8iT0Wvn2Wg1hB/Pi1dJP+ciIAjPv8+K
QHxXQb28diM21u1Mi5jtFPZF74zpuDlgd2qGrWdQQIat4WD5ja0YptZMnNLRUoW6FtiotxUuzmXj
E5PFQnju6mlLdBDkUYW+no9wkvh0lR+pS/Q17aOXx5xYA4FPOekPi71DSju6OFOd8nk0Ro5VwOFE
eGsIkt3Wrx2nJS1g6H+MQdqZGxm04jlucnkL109YIbxAEBlda0lwYExK9rKpLX3GMzgc/RhGMTv7
mrs90n5xBIsatSfoA+77mPuAO1DW9a+IgKFJlTaWHEbS83Td22q5Q79JLmCf4DgKY8dNBIgmGJo7
gvNYSJsQmmu+7qz+wYoODi+QSuYhQZd12wZJdLctHLsYNwNITOPAKsOK9zUyzTvLLJr2cTQ0NGWz
t4b39av9xGZmUWDpkZk3MYokO5guke2H2cn7q9Fjm7oBxmAfShbpmmiwLr41QO54yHTm5HV2eP9b
H3t6teMpbKANm9pGklnV4kmLgR/eLmJp2q3u9OwfB5JlWI0GdsMT3FMokPSSio8WbRkuXFEH5nZI
xsTd5bNVfdPSi4JrovhyLFc2z5BHYx7YT5aEIV1VY2+amMB8ILnMMqOjhwn0B1xmUrUrhIwxKytH
fbpr4OU+7zMRAKyLvZ8Qr1qxjchGALzvVjbfqNUOO4fNTHSYCiCvPHznGyhbznRovAAFWEDcuxMy
sC5eJGaybs9+1Bm2DgzHPPTzihyDTFMyh9liOsneBHpXsl8cIxY5QZ3eTi1mXtAptfnexfDyQhgX
BkO0PHdHsqKE/16gA36tDe2zXUfRoDaRPVlPy2iKmW/WRGaw4A17FzCli62DHjkPJwTEc6jTic2G
23bTN7jfUbxvg7S9jzNvSbb0Lqrf+HlQj4dq9DtjoxQC8q3jSDIy0WPiT+wkqyrukObsdkzldq25
5gnZlDwfKYfivc/DGUypHaHSGHz2C/u2WlecmupL7zBEcWya5CHArfBRBO87ezH0aRCaPUbv5/Zb
4Q94DnOwyhNSCZn1uy4CL7kuKViE8wsSouvlsjtOuW4f8edkBlEKRY/BiYHBhKBhUcb1GDcVWGiV
863mWif3JJIhqiYsUK2y5nbGw0Ye0s5qGbbvSUIbPjK83pSsEAkBfrgZ/m1XB05GjrkryHRKloAI
t7IfKKvaPL7OLHwF6HTA3kBvtRGhLrYyTyn0dGpIleNfY2s8vRWJTYheUpbJcBzBQ91HhEboMz4Z
puoB3pNnxaxyCf3JBl4tGI/eNIrkmoMxurF79Cz8bzsrW4kzqdmlLyOg3PdWjpm/w83me1t7SL2f
UZkhQ+msKEk2A8f0z8Gpgge36IOzMSrcyVOn2ufBgsWtZWwpThNgD5AsS/PAcnFdxgRehPG1dl0F
RmRun8em6nnGe736mOqkfqhgrT6xEcFKNrRKHb1a86ZblTruJnd8JB8egOhsO9uBv12QsvBIzt3q
rpog07IFBwqJusRsXoC0KnCck1Gda+RR5HyyeFuHOsp7Fgkq0RA6rd9CowfasFvJYgrNbbuuGBlv
GBu3kzBX7ZbJFHcaeuKtR+pfH0Kd9y5kSYMUJtg3r+C7OvhE0VF74YLSeN4MHq1wiE87iWBNG4Q+
+g44gjNaedxoZuS6DyD77PxAGFl15eB5fm2p8LIdKiLKRKMLKOhkmoHjtZZmPHmkLL5EcySoiOqy
vObrbCSpQr52NpIAkztXdzMI+6qtcJQX5YMmVPVByrl64glUkukz6ugHNsoGVUg698QmTqxCGz9v
Bdfa7F/7kSZ6FapK/BwsDV7/uClAqlJiT59DUlbXtjWtPQdfLDNzbGxEvcI0oQCOJ6enVkx8Ti24
Siflp5oGwKmJkVKusBo6rEm+CCgXICdwTiMPI2MG/whI8ZOTudw6EQXr3cIJibKAcMdsT3hO9DDb
PQ8RQJRxOM+2bEgV6dVPFns9jgmSET6wsA5D6CZWezNmES3B5AUlzr1uQfCjdYD3UwKg9WpCbcOi
X6hA0qmzWgJf2Sxv0skd3+LYUUsYVI1zhVnCImalG+sHjCiCw5lIDvoMXBQtCiMi486s3YjFnjiK
8JJmyQdzfjUdC8LfbqqBLNkLjsjyrZutsj6QoOI/IKpy/VBMdf9Nt67Dv8ajhd13csqtXdfRs8+F
kJ+QeJUvgTGMVqijzMSvo21xqZqZM7TMxuC+KOlet7abQtagsHXoB6mnqZrwFXLDTuBnWbKmKXHf
wsHb36LWe3U70KkOXIUsTFRbk0hWtGm8m2kWf2QtnRZoAhrX3RQbwbTLzJXTuJg1+Bby+SCH5krX
20HQyoaDl5YsMia7oAvyptLYoEQk5AYEKSmOnT+tPg3HSw4QyocorKRpPZp2zeHskFr3Rt2CXsx0
MnVTR6CcwnbQmqW4B2E0lFQCFwDzDZ5WRC0RRDPiiL/rSRkqUdX24xsCkuoR+z47GJ5d1XXfmm5z
zViQuCtqCWqPVsmSigpsJ1HJtKjYfeIO/hCyu35iLFQ331KJn5V3FkBxTUrdE9qQ4anYOL1fPpqx
sh+N3hDkwGnfekjyOPdD1ke0UI1P0Uh33gVuSOBM+p7AcsAJExTLe0lmBj+/9DnSe4crPUyjAAlB
z5L+pzs5Cd8coQH7CLH2t8ZJhx9K9gSwsyjm0cT3IYj26KAfM360+VZrwqBzds3EZ7uZMdc31WwB
BmmGZQ7Au/TEY0U0rXCHCcIr9+s7/QEyZQA9kiXFAZJJTaBrRVFLMBaJNgX9Rb4mGWY/UvKSVyYy
JXBYmnIhoyq2c3fjddT2ocTIcWlpvFh9X2DH6AxPbEpD0XAmvivfpVmKy6Gd9NsQG6kIPbQwKxgl
0/eNRl8Nn9JIYAxLMzO2ueMUfJAzfJU9msrog/KgJ/PVM1jRRcLl98jqmGA0o+V+CFHX+teel3sP
wqnEU+8VzXsUFQtPdtDSjwTs0s1kUQ2sU6CLe5goopJNUJLAclVCIrUOwQDugql0ztRipin5Ljs7
eUXWpwAxy5R5Pl4ifYxzIuVC3WHSXvsnYnnAUy36RJNKeQkKP+d95FQdBzXq8jHniy4Jl3WcI3gN
uzkPdoAvw0AJcLFmzm0TOFMXLCWwQ8sZv+eRE3UhaAhbqNjEUln3o5tjcSY4brBDnNnNPehyXNOF
bcHsa5wyo5BeAPdvvd4mzXpuYgpQuHTtHf4rwIE0bXNNoc45zF6S/KOwZJ8ZH3p4Kje2EPIt0FqO
G6kExSPnMnIJv+8ZLylmKJd9OdeCLFgSfbcoa0y0CYTXMUNoPbuFhBCl/nvFnktu+6WcjXACh/QC
rJiIS/IjCVQZTSNBh2g52Q0qBKfZMcTC8NcEmjjDpiyDEyqdwN2iaBv6LWDg4Vl7RNWEth7M9576
VNAFzQuRsWBA6jMyShNQW5DWHbtTkWMpWh1EIp1JrcEvrdUFOeEt/8XKPvHZTryOwLrxLbCstU5O
6/E7VJZI3sGq8zIV6Ofgou2CWhzbekpW+rzLhWUPPa+ALNJfoTyJ6xytaOGjJReiKkFLw4/Z0xF2
V6lBfu9phD+BqwjxP7nq7IlRBKtkFpuuacZl36a6DnZ27PiEGQVWvI35+oh7sxvSyd2Oa2VnAB1W
rwQrmqQrVAkn8yQm7YcTVnl3g/mGDDSP0JcDWU+ui1kbtAWHViT9rSzH6Yk7eHH2VsfMBIO8kx1b
WiiMHsg5g7B1lDFuWhz1P0B8Wdi0h3nmqNDLp61d5yxNF/AG+k/31SEf6aVFG/SJQDEg89ROCAgy
ptH5wfS4oByx47TdMokhisAbZf999CaY1xTqzRuSafPG14ogYkj4/hNPrdoL7Zzr9DAMQ33HjsPw
rvzWVk9QFyMddkYTIJap8lfmGhE5EgKT9a5rOoz+3RpxEzbe+twXkw8B22rMVoQOoXSkZdJdfC74
+4BzJ6wxO2KasZZN9ezgVDFitR/82P6wMiN6II28TTalh8nlavGJJtnj552/oUkEfm7i9v6S5lnj
MW/zIr3FC9irLSx2KC0WsiJJ2GaDCM5dIfN6tFTlbJeoQj7KyLK6lYvkjuhzV/2s6q4f8GJYVBE8
Uot0g4wYPxQQyaF8EnlWP80Nu5wwXfT0qFptJ6QfelQN2qEJPQ6e9hpuIsfBBTpl6pIgHI5zexwC
ToWBDQNzPwV73nUaSQXE9POyt0F1MzZJFLgMQd42vX4KYthlch7afYxwS5tR/g7/W0Ja5yYENZs6
9bCZlOu/GGWAixQkJEhvZAQDL1yjWQTohZ9kXpByHwnfxdTfOkn8EgiGO5uerArytpOakVtHEs93
dg2tuS04DRA8tgruQVUX2VsK740Cs8tgK5uTSd59LZecPMNiGV79snLjPTSaivrbYPQUxiUmvLCY
KigxTtSoFzBgNWxgw3zIKl9HO7dPRr5MxlebXnbNEyfmcC0HDxW0ptHEYMMB/dMquvxDAhGjEICb
Fx/mkrZnZyPfeiVGHFdmj1ERJs6Y9lcOcn9yEgFjujsAP4xORO2k/DyWltB/vqSoDiNgpl1lLYhd
nXOFQ1BY8au1aliDLzkrI4GIsNQKkWuy6l2DL+lrEFTyGH8JYu1VG4tWEZlsJswIjLsd+U9etgpp
2y9RLbB8uk9DF8gD6y/hLaP7lYfl9bNPZIMXXSYGEc3oRFfJbraqdyPGrA3maTS9RoB1bA/sAqnv
tKp+bXaufGmZI75F2kEWvHxJhBWjv3jnfUmHrTqobgHL+p/jl7Q4QZT8YnwJjtWqPcYAggyZwGj2
Rd2XPJk4OO9pmPKGp/6XgLmwzPyTZTNDpKxMY0GQCOLVyzrPHagBqwq6QjBHjZQaVvMxKBvvmG4g
QoWclAioa+R1xQlU9fjDcnr93fwSW/OkaXvSUlcRdidG0ifrpDBvbIs4C/Ipxw5uIE6Uads0AVJu
uaq6W84JwbmI1ttbxZOXeFy7F8OUYkTZbcqThY9ec3i09ieEPjSRTRMxtxWuX71kBtyobWTM/g02
Ced+ZtLziaSfIEMTd+lH0tV0SgRdpP4By7xmxGF66meXsBbdsgqIryceGFbodJY8stQuFLJxKEfg
axoku0pRpWpGtz+CYBGcT70oLwWYw2hTdojRaeCX/APdbTZxP9UV032IXjqsYWkhKQ5SKu0xszhm
ceR7+AO0ht5B3wYdvfVhyB1ry/XOq4b2e+bgAOUcZXfAqQlFe4csEZAyiQxOtakYmTeUvJGZXszM
zySB1176Bq6Ji4WODUI4RTx3McYZfQPkbv42wUyg1bPA5oSUouC7mOJ3zQGTsYGi3pjbxwSCzg9Z
oWeEP9NN12TYY+8ziPoEnpiuSRRNLsx7KyFGM4zspYNlNydInK2YywL0XYT0E4EThepMo52d2LI5
N6Olh45W1RqYdoxMFndu6zMhsBjZyB21gwKGI3lu8qskY7yBth88jmWJS4UkHZuykJrRvVBumzrb
PiCJ86Q737kGsmDcmuu1TYnFA3fbaGUyki3g0rFPKlFrgYZ3Lsep0KyMoLiJG0uUMtmhMYlIF8xn
JO5FW0vgLDDx2J61IvIPScKach9AReR4quC07RTZQ/DnoSqyy/LrNjtEGTONS7LTGBZqyePxKmcu
KrY107dlW7pD9QbgVYiNCnKyJSOazTvqEVHjBrCpvjy8F0940J2V4OZEa0PtYugxuVPIJVgWEq5G
/IEjenCURxticgHZzZFiABIVjHb2iD6Iuex97FSbDMxIBPnGhXe93ijA9AXio01VLT1Lj5GR14a/
FfwMAkIMDprAX9agdeudImJDqtNAb3pl1qmU6JdJPggNNROIWqJpKw4VK5B2OwTRcNHnyu0h4kuB
lk4R3JMi1kffblhRvQmwKv+wl7bstikrwZVrQ1+9p/N00aUnE4YJAugQLOu2nR+5b0uxM23NQ7lf
OBXwRxrRTVpY9rVRW/XHwDJg2UzMbDyk/gSVheD8keFDVyyjjVlkLomB3HNRWICSAM8XKTFzxs3R
vYOhrT0EaJLXUzxDnuzFFq2rMQTGkWp48vaUMnTRRiEWcaYM9rDtD6mRPBoMtPVnalCOgTecE67v
MvIF8x1eNb+pFajQA8U+Q/qaqWd5AeqH7SfwEx8DkixqDC0zbdlejV174RMe8MIzU0sWAg3P2yp1
jW7PNr/IjlZd9Demi+T4mjYhau6NPKEdqr/sXdjKhlckAUyRl385wOSXHcz6soYVPKXtfcrOwd8t
dW/tKfcxkrlGURLPVQl9j2op/dbVacpY9suARjrOyGmeUq325Ik/lKtXDcnLHF/Zsa3UWs4mYt+x
FQAc8GVzE01FrBJMYHp3y1n6fDt92eK6L4tc+WWXM7+sc9aXjQ6oXvkmPK8ztnUvBUv0ZXDfWjX0
BZuDlIT3QdaEaRL4RbATr1y8BYMwiFbp2M+q3Mh+BnOdv04pujr4qUX/GTi9ar/TxSDG2idG6thv
NadV2YQjMLil2dSanJddgc28e1kK8u63bjGZaoOfqZ3PzMbqftdCmiGtwquKjl4GRUHoTYoTAoMd
FwjQBX/42ZRJwuHWtQxeLYKEo0dWEYmmpxrb99H2OD9E4jVxKIl6sA9jwl4mpNck77IJInL2CkQF
xxhjk8kkOUj9ndEiXtrBHrUfKiweTLwW0Z+mwMN85hhZ8bwkMCG36OHq7sJn4W/tggV16oa0YWt5
mFPTwu+e+Nz2EerVZYtAnOxvYboqOdctu8itpghKmN2Cad22ojHyfV5Aqz2p0QlufYq9EqRWR/4y
kzEQukfmMkMTb2RMifUeBEQpPquYiL5T7SaKoC6aej6oxpOK9j3yoVQ1GWhCw+PeWMfUxDhC1sAs
yrOmZBLWdhXoReX1uAMSy+Wx4lS1WPYmINZkHTG543kcezLChzIP9qBhRMSeyNaY/nKXpmHSSbf6
noO6luwIl/7E/1Xsk31IC20VYhlYR4WzaVG3wKlaj2nQomc+LiKgwHpqOhqydxiZVywLQqXc7rvm
MfUglnH1gwhrHjYwqJW9KWbbOdl4X70devOe+WIVTSU5YswaGeQaEs1vZ+o5xBNbMfAgzam7cKrW
Hy+Eg+9oMwZaEc/Rp1lwNllyXy2zhlybeYW5rxrImhuXYAPkxoRCyY3d9LHkfCTElz4yY/zetzI9
oIB0+eFrksqTivM0Oybky5CFaTZI4Tcx1+V0avLC/ay9Ovg0Gz0SHYFmgXCtwRO1e0XvAOVWo11o
IB8aHuAcZvxk8+VToX76FXCVHNJXSZgcK4DTwLwU7OzETmCnbS+5YcQE/Yk5CgRwUzCvi0H4FX31
PNO+1gzJl847ERzWTfeRhOB2wuCv7QNPc8Pdpy3ygd1k+gz9dY9iemOnECwuzdiilMeGTFCdxUYx
uZna1A52ie016lXyUKxuLRE0YkNmJPnsjC6YAlqp2/xLF/aP9M3/M/Hy/3cyfge92f9dwbxJtf7f
/+vfvv8o/u35Xaef77/o+de//Z96ftvxseEhDbShU7nozf6lZl71/JS+SLEcrhks5v8pZrbN31C9
obRHwIim2VptGv8h51//CFXO6t0AVOLzR/9Ezr/qiH8nkoR5EjA7cHzLBHPuop3+o8hOI4WAS2dB
6OSAbfu71L6LNDPAJvT0tquO4Ie86cFwiWc+3uxLdR+kNzDldhEMYsfKQ8GY34rZmAdN6K/22udV
yzk/JeOTsVwnzW2vm21GcVCF2XQg/nb279z60/eu4+kStLBjPnx9Df/oikRuzz+/yuT/Z4r7/xfF
9N5fiukffrQfv6AV1r/wr6tPWr8ZBpcWSlvTXTkJKDf//erzf/NhVxEMvapwmaD919Xn/mZyinge
Cnx3pVghWPyPq0/+hobexmkiPRPaHRfzP7j60FP+IpmVsB5Q5/rEEwUrQu4rkeJ3Ylb2JmngxeSM
um02nNMkFztwv84Zx0b9btVm/yLxXIbQj4jNnKdvPL7FJpG6vfGRQ10iS7A/mHgsVCCpfwItnbwk
GeQmp1/sSx4EKaxd2/NeKUu7gyqQZl04Ht17gK4RfWCX/hx5GN0BoHVO2AjFNb1Bey+6sblm7LKa
y8f+1qBuvkJzpZ67RcSbakyy3ej09KP0uLtck8rcBlI8ZbqxtyuE76RNNIygXBjOLMbU3DE7sh9s
VqsHi2HWR+0BN/CSdDxZ1gL3UmEMJX9tuZiYKh55TMvLhZyHXd0t5R65R35Zd+OVdIzbWJq7ePJw
6UXgkKX5EKGh3QD+IZodQx8fgxW9Bz7kWaM2dxPRXaRdIRvkAfo9wppbkYi6Sws2/IV3bkuvOTCk
gWSNupNt6xk02I0bP41zfS+cooU+6oy3PbTnfRmw+yURaxxfqnaYL6vKR85kYfz1R2WjjyxKbMgS
qV3J7teYx/nDzBLjwe7L5iRm+xHS9viWRwFKtNgWB/L14KFa11idncNittVdVNY85FFbPI2VMe88
t2c5XovhMWakhnwMyw4bq2I8J83obkhh6p/JJHXYfyWIF2K7CW6CPvnsG0YvGby3kvOTVOESEJ7P
kq7ydPTZJ0NyIGBS31kWs2bCp8VBRT1aAWXfOCKyt7LWt16n0ZURzJc01macpYPP1z5VBKBNNsGZ
TkIL0U/PsUJCAMl8E+f9h2el9w5xpbspz6/oZ9SZ9FtCXcsl2Vt2Vu9qZ7nQw3TRoDQDRb8pVPuR
QDADJBGDPC+Hp0Gu1ocu7pNL0XTMTXWj+CU6s4UhVNF/ebl/8pnrPvdell+YbH4vIoIkGQBStXRu
SWLmXFp7g15xG2eYp9NqNzbfZeOXIX38GFoSxLnXnCPECZAWrG7XTKwpKBy3Pvu6VTMQnes+2U3g
0a/aYOw3aQDOicnGwc8sKr6Y4bE5CnuPczaSVImevx1gR9yy/Altl6wBvwo2swcO0sC34szFsMGu
HDJ/ZlQ/7As6eos6Dl2dDYesno6Q+pqzHIIfbWueGFczrs/0BRvLKZwswEAxoOmrZJgIYQVOMuBw
3UHyvRgkDdLSQxZBSTOgh8svLJWaZ6JNGeQJY++0ZrcBVmKdUrr4664muGzw7btJFDrMveazE+2T
NxAWavrOXSXZSzO2yMN5KB0+c3vZeZ54n1SbX5ITk93jbQUwMFvG1oPWK20WrxOVHFEN7kzDzco1
5EZo3xdtuxdt4tuHfGZDPDhik+sovsFeMWHdTt4kaamHoTDHZ9jdNlzFpn/opXOlfcFnlQhI9NXZ
Q7oAQfonw8FTiwv6CmOv/ZxXi9yq4kbDX9v686qqJLeTxMzxk5hImobGsJ4d2PFbBrXpBQXg3krZ
/LHTfmVeYOxJaFq2Rps8Rku7dXVaH6q5PHomdxPqttS7BEqvnm3W8Rs6us8iye7wG/RweO0wCewr
YSGAmfVz7cmSnPGMa1KrB8Bu37GZv3t9A+EOJZ6XMk11i6JANREdkyLNzo7SMA16tyUkNR+eG1GW
V9K3SIfwILjLBdZ1hKzr0xqC9jKFVBgyRlp+tlmdbyurQCBcuDGZKF53YGPAcdex80FxxiBGmTZ8
RWUW+y6biPclRWNHV8P4ktHaoV1ZKgnsZ1a/AadhECVbwIneKloeCTGP3Z1RWh/LaJNAMkZAfuxq
OsS29C8YwC4X9MzJPR56+S2tbYdNS6LNawTy7U0XpWfSuu8i1CowE4sg3cc2DATwVFHgVxb4Gjf5
7orcPZpDkL3GTjpfe23X/gjy0vkx8bWd8yW4M4fM3qA1mj4c9Mzvs8phejjk2ifF4m0LZo1xE598
HkW7oXHMU+vHxUPppd+1NlEH1Y21BfVZPdd6Ge7XdfxzN5OAJ93llLQGbLRYVneiHkx4vFkgSbpd
3FcxOUNYrYxCNX0DtfAUlUxogJaRJ8AxcD00+SfDFjBn6Yq4EF6xNRLgytzbjXxXSUr6by9k95x+
OcUrc1WfplZs7ZkaocGRVdPcV4tL+7WGeJENOwv75ItJvFmDqi4pP3J/m6vKe7QN4Tshuqr+zWOx
egwWp7rVglixIMjrS1kzK+7sjAZKpqWsQgY07aWF7JCwDiTdT6yVxtshlRwDKfKtj97wRz+M4Jod
MamoZ/xnzqPNtFdBbkyWGBJKhZGBLBvx3hCyez9I2T4Iy6/upUq6B0oR7O5j5W4Kt4fdwWA0jEz0
NGyjYAEEznTjOt5yxSClPyd5AekmWvKn2jafGTxzifVlfRGoyTr/H+7OYzlubb3Cr+Ly2LiFtDeA
gSfdQEdmihKlCYoSJeScMfeT+cX8QcflS7a62HU8sye3zj1BaISd/n+tb0VzPb7wPDi+zbIqfk4z
yvtqCrtfAf8S/J8FDGBNY9DTgdGZIRGAo7asDQiw2wLoLZK3vH/QO4EIV5Bt4ajRghp6jGMK/LF6
Az7/QSEnfG9A2ehaiNMdYHg5pf6vqB4kEmuFgJ9pm4pX285dBeUIdBzi2efvqk7RwcLpH0YmYUWO
P1ENLIjrTsjDQqCxp/XyYvfKSLYqEwX1aKX8vmwXjwY51XcACVo6brPfrO2QPgf5ri+4qxR3CugO
8/nSIeq2jsUYpV3kksfcb8F/iCdT6waXbYRxraZMx2oyBpvcIvZdN2YPx35z38eafKoZTqjVCJd6
jC1DR+9vOndhkDcvUd2JddSxzPjQtb1uTiRSndjehwIdXmSw+wvast60ziB/Sqv5PqXWTO23G3g4
Wb0t1c58FYQ5eOy9oETY1LO7mk1aU2lHUczpIzJMggt8NKr1SERAMXdb8sS+Q/H8DN4HbkkjQAs5
NRWoGBjOCn3yV0rxO3Ui+INxKZT8KrCLre7Dyo2cfFzNuql+jnjH5I4jLTqyCOU/+xiFQTZT2Zn1
Mtgi5R2MVZzGwWvVJC+WYte3eqZ5MUz5K4Mq2YMoLXqaph7eaQsdo6r7/pgTsfMEttO4Hbq22cl0
yvH1UJ0sByS6VdrGP3rAPl6PrnM1J4bxRA4U2A16cDCdshSNuS4qudXReDPSyIbCbhGCNU9kfzsF
BzWBdZZnWzGg/id4cQfBK4LCHqZ3QVGHh7nQ693Y0HFHbhzckvwF9SOaCVyw6Na4WoDMSbDC7nM9
uu9mmuQYNJ2bYUYjVGHBC/Fta8UTFtUGCfNvoIgIse4xjS+gkUWbEYOLEpw3lfjbMCU7Q2k9S/Mf
nfQqshHJg8snMj1o52rbIfGMVyS4kXSe9tqvBL7WrszCI5kx7aEOIuNIVii98Tqadkk4Zfu6Lrv9
3Fn6l8rWsgVvBQtToW5K7lQk0RZlFSh+jKmR11l1CnjQpKXbUwcnkK1JSHpXCZf29MjXDrU5tg0k
D9PwwbVYCaPUVNic6VNAiX/5ziMiVL7VY6R4pWi3AZCA56FNwWXMUzRkLh9+4Koqyh92URrdbyXU
XL3J/SPwGhooXVKbKicPDPb1SE4UgQREW1BBdBTysBRQpZSDA2p0U25zYBfGrmyoaK3SZkQXUs7d
l6EmUaayjQj7hqwnXPywLz7ldH+x2TVRP6zmmKaXmw6qz4NT7c9a2yRQcpd2aWlYn8hHQR6CXjx5
GGMj2yq2b23gXVLcn8wKySHCQ958pq/70jbW5RRRXmyKZPqUDqRcSCPObpn/g00csJFrWiBSM0Kt
Wx9zA4UEUb/oJEpQT4iT4peuNPNLUtC+awM5EA1dfeqboiaHyamJD87ZaJgtuzk91nRaV5Vxo4Q7
MU/yKhM0zIykzm7MuqsPcV6mn3SOAUxMHOpYQMihMPgBA7Tdbzydbk/3Ap1qn0pEdQqk7NISV/B2
v5aGKtzUbpVk7XSRwP7Wz/su85nycuLpb5Gl6QQXANEyysBZtwD/POIS+oPG4nyoWjlv6XSDB6oL
5TgoNpIBHL6brrHVI+pIxUNoYpCQEFZwuU3FC+OlHEqRN3tuplLs4xKcdWc3DiuINrmllU07/hYL
qopG19w2Q6J9kUM/Jy4H1gdkId9R1BcrJKgUzGHKtG2GG6ut0jXgoZnDV8WxKCRBjGndnG7pXRvr
kEbySmI4OvaS6I9H/HYPQ20esFHAIpbaHQeGb53zahDQrOP36rsB/VEWscclWyhSh4eCEx+iscE5
OKFhQU4yoz3fR7Ju26F95od+9ftcIIovvhDm7qzQ3LYvMjF/DnF47OnTrOmbrLRs3sCJvB6rUVnF
Pp2exgp/GWJxeqvIebDXcmBweoKp4uzLaJfW1Wh2n51G0T1EScSYZf51DbV8zfE+vakNYik14Gy7
eSI51eVcLK5hpeMG4f/liRif2qmoVj5dtVWhKnzEI0yhhRo05jktCHa9mCONK7PLtwTZkA6qp2uj
TjbjnIvHGjYZYLBi3laa+Nr7of3MRJjshij5ZsqcHjiJfDY3HUH+VnOSt0u9EFtefeH6eiN2rZ98
GohjCpnaIrYXTstZgQM9Aq0yfyh8XyEZbsbeRsPLSreBo8axV6m9tfgTfXw6Mt7yH5Ir4IyPUTz/
wMzUuqGCOmaVx6T49KV/R3YN553K+mwQ1FWsLAE10HTi7nvca+paaC2eKYaOZ5TjBnV3uer1UUEU
2DsPukOO77r27euKg5HdtddRkqW3gqoN1vBIbioCRtAZmp4Q5PINFJ/d0ViyTJrpGgR5inaTDWbV
3jiV8yPubMnmB/RHRlbtqOhHI8IXgqLTcSe7ekKG8FgrBZ3viuJ2qDVfsQQOOw6VfK+C11E5KKqq
XvY7gobJR4lZkIbgBv60eejFNN9qY/ptNlWY10ZvQcjnAMrhRV13GaLpKrrRgRftFy2qVfJnkJy3
FezQV9pEK4Diiu7FOKMiqbmlmNjwqBoawZar9432ErW473GmfYtRvng5pMJ4RtBMt81fg7DMPd4e
PjglRcjYZ61n21WCt2++h5n5WGnVnr7REnk3Oa6BM2hdmVq50QLzivUWZab/mOjfFX3ot9gGpg1w
8ug7kiQYXo1/SHvrm9X0x5bteqWRHjnULMZAGR5ZK0iHT7vykFkFZQqkPEE3mKCv9Hlv+flOl36A
xc7f9HV7R4PRm+jHZYMz7YC70+oa5KrWNCacIM/3IfW+ddWKfovfUqCEMqNtCkVr4wzl5Mq4+TLQ
IbxtEoQWeWQ/Y9pJ13kRbxO/Q3CT+NcJ+/Fd6RMFNs30Y4yseRogPBl1fFVk9Wtp25ZHB4mTKve1
JZZxPkAwfDa0vL7PGusTLTa6uylCdGaYdptDXrhJqRcgwlF2nVk1e47oixGhINvJJGslNYGg0cNF
uA2syusy/d6pI4u5VNG+c3z7Toby7/RxfV+mmE31ZnYx9fqLZoo+d9x7WQIeLAgIZ0MvgYq4EmId
jk6FNDIvUIqpe03yF1AtI7wHwe3SGjcwggarmo56QoibG5tSvS4Ro1MSj59G37hRcfUQGNyZjDxK
PE5fc6Qnj8tFzhbS78YBiMSoFS+BgRk1CfPHUh9fWoMmE9LOepXkGc8IBfEKAkaFHJoqRk0XtyJH
j44zOqhGUx50WR2CyuG4ibcSzzXhDSkVPQyHEXoSdq80k3eyoMtNSNBXjYXn1szsawJn+EWTG7da
tU7U5Djk+ReU3fFOkWq0kaKOrjQbwZTZeQMzyo3uY5dfvpN8hxmB5SLznS05T/dsPFTEZQ4iavCc
Gfp0l5F+GCf8J33BAbNbVPtsAX+FbMp+2lP4A88TAG0EXasBC8iKKQqJh2pPt1VloOJlcLKfirYV
Abdu6LQPAsKfnLtmPfmifchQEMGseibOsNoTzUdrC1IZP+1KVcp7mcttbSjyl43Aw4z8bVLOX+uB
7QQ4WDZxmUlW2tJb5sxT02Izn1uhB98cB0WNNZNXr6dXZR/+sFgUVx0YBbZxsfasZTz4HvuYTMV6
1vr+ngbbUSdAxCyxbtWJ6NbtaFAziMApjqkbWHn+yUyycDua47EJGpuFYxo282S80Ik9IOC80vxv
Vs93ZYzRzzTD5KssX6DZU6xsS9zyQPtXQuTtUXTkndW2kRznUN6PPa/LGWoPwiRbpyzb+u08e6GF
64mYsIAjZ+7p/iaS2adIOnstgXtbpJz76JiXmH7biTO97kzGE/aNX7A6tKtw0kzYL8LYKKGsrzqS
c67s5pta9c8KEEknWIgWdfVKLGS/KZs2XcCbCK/nOHPDoXRCdJb5d9ZZmtkiWQ+GUe8SjFHjbJVu
2I65W1c/a1P3UMveUITG3ZX+6JrxWY+FXLUSbrHMQmMX10F8HQ3hfKVVuvg0B0zuimnytZhfyGN6
KdDH7Jz+usvmbleVwY+kABIzVep4NUzN6HbxiEDV8Nm2QFi1+istUo804StO0ROGDQRcc0nYQCav
Q0wITpjMPD1UiQ4BlxtdSPUryUH4tAi+7Eq/2RlThpr4Z1N4+KdW1XhHK80j7nWrJ7+m+XOnfu0L
YLysjXOS4okzkp+oMjd2mbKBxIh/J+cmdbtERQjRZj0lrPBLE6fKPqC9y/cIYZWQFFVZaKeGkr6G
0EPcDIrjwdLr+Z5yJtl8Sou5TCUHdy4VMA2G6l8NjCwCMB+t2L9pFTlse6RLsDeDco2K7GkA3NuK
8BgGAXN/pygQT5Sa/r3/rJsZ8h/CUGEuhkdgxOk1j3/cKJ3Y+Z3JDy3C/FPtjMxUaI+eO+WZKNGN
Po0e2yq5Uo2sXwOHWExgWv1oEnvhDrZ+CLR5DwY53LIl+SGVyPOT4KjWOorR/pXMzRvodz74g+YV
+cVWLyqiPsmmUYpgmzoBT4xQjwyTo+FIT1kMsDGmL1MN54OchY1Dj+gCfC/bjtjGY4jxycNGa37B
V8u2wMZpbg7ZsEb7RBTvrM4EehT2bvQbuGMoQ9lol8293gPTiOgY4CBJc6q3smXpts2fjSColeqK
No4/IJ4FGwvgwteEwc4BJF7Pw+MUiJ2M+AhRAqT4zJO9RoJgy4qLImQVWV9LWCQsRxurk90hGMLp
eqZTtEENStwmyvbIWqsTFRXK4ugqOd9l3V2HOXJy4se6Q21S50H2DaLRMfYVal/DA07pCsXewKpc
N085u6ZoYt9c11W/zgDfHEZwFW5OOpqKPfDHmJpyLdlKTGqjbGOrEsdaslJRBKuPkCS9YOimlSwo
IFQWA8GpzGNFYdZg1YuKAtHJLLGPVHlhonfPSceVsz51q663wHNQ/iuvx7muj4kKA9SYByaVnurc
yg+aawqkv1Bq1WvFJ+F1pbHz82ZE6Ldtr0qPYGEF1S7LJJI7Umtwt8PHmT8BBjZ2rZJVxCBqUbAq
NfY9pmYP8GaHFl184Vw3MCcxMCCA2sS5QHYDzSFdV1psPSGeF+uhw6lRsJ3a91ZMoOxcyTB0M8BV
175WMDGxBsH4xSdDJhlHZ61KJmSnGtRMau/fFVjo7O6gXq7VYvGroQVCwFWoL2bRXSmZRJ6XR3ss
CuEXXUCE6R2m+X6skIObVbzXR9IH/JFLTFr/2LIu/+TlVl6f2/jgLLvHQ4ZN7IuSNuor8acC57ef
hj8JI404TVIRwzFSrrGbJD9EY6pXYWqpL3U0yy1O/eG5IMb0c0LteZ0i0dtgC0sPoaS4j2xJUA6N
jK86XMlrSkJiSyJO/tgxEd76TvSUza1/NZLlcx82uvzeq01FXibnBFc4kN6RsIaf2xjTEzHl/XyT
g2OGp94mG21sqnWsieh6GrryubNm5zAgyttQnWrY1aatC4hCv87HunazOX8JqvrOjOgfoOIkFFpU
yj5sYuuGDwJ0qEM/gRemFo+LcAgUbya+6sUETCEUwfB5RBx76EBeUmfCyjeVKOmpRQ7qARKAeSSl
fH4k6ye6kuSusu8gbJylVg9urZT9cAoBd4uiF3OfVdtfBnOsX3uBAwINYbEpfDl5Q63OG5BZ5gpR
E8vigFg0yLQHM7GLva6XzXOui+kK00txLKLZf611SifUgPJAk9QRa5OvOssxa1DINpdI23JunlpF
wxfSKMH82kWEjSqR5m8plRrHggjaJlFeCDn1ORnJdgf7o7tvApOM8XmkJ5dH6RY4APG2jVMfG5+Y
7wkHyRoV0TJ4KogRKYD2pmdfxB6v0v27yCcsVAXNeNQCHLvEuubsECzCKngAhzmn9UqJAbSD1ROL
TbZ78lBzwvf+zWQg15lN9XaOe2uV9U5+9OdGUNecA88IAttNlSBkijHr/4Uy6EPNz/9ZOYYmiHf7
SBu0xwjz8i+vEZzPHB0GPJl2WhIv/vs//EuYoQAl1EzLdEgLgxaG4A3F0F/KDP6RTVXJcIBZGNLR
CGX7H22GMP9hauTQWJTDTVu+VQbxjxazk7CEZWLA/ZupFwvR65/CIGFaqqo6EMY4kUmmD3URbrwR
ZtQo2ol9D0ArsMugUvECsmA5zxPQ2RaRuLeCmPBYArGBP4sLHDXxXpX0++IwFm0WW2FwK+pCzHpz
cRU4eqYPlFGLkqmuo47e7/KZlFeSvYJ9U6kplbxBtoeMeNF7peP0g8BeA20xNAeSjpOQUnLS/D7C
OGscIumxHfibIKue+4k+fhiGlXrk6dJOJcySnnPCMNOy8QdodJghvoqyOAN34AW1aL/Uqh5NkJ+z
Ft5IpL9GWo+xpWiMPtxgmgckrUR64RGwXlLQqKcrgi+c+2zKiJ+YCefG/Ernidb+MH5eer5SScUL
dO8I1w8NBTrPVOIRuFYIx2vdKn5NrSaubTE45l+P9m/Jo/5/CvYs0yBUywEpyRhgNKGeuzRIf/7L
f/5H+pK/vh2kZ/+Y/9ZSaf+Ax2kD1wWPCJLT+KeWymEwGwwYgmJQ+TkS/VVOZkr47/8q1X8IYQM9
RN+kvZfyCecftqVrxNfgb5BIAY2/I6ZalHr/HLAMV4Gca7m+Zdhk4ugnYwZidKVFPWYI5J+4KLtu
2DWtPFRx3WMdkePmzdO6++sPfkuSPnc58st4zrRmUBEiH3s7RFuw6LZwwpkMby30ygJOSb/U4ms1
I+Uq1q0Lc8L7+eiv21vyywxh87TE74yeN1NC0oB1rUSK+kLhf4ZBa68Rl6DNSsfJnZompYpWTO3e
oUm9cXBr7D6+3xOh2u/H6wDLMy1+gcUM/P5+k4z5xaYj4qLdlvsKnheTkUi3H1/lFAXIS9SBvdFH
I2gIvd7pVeqg1HSaUK5eDjlW86bYYMUp8YNHk/fxpc48UCZWYpXoVUMyWUbL2xdYl7gLjXKiHGba
7a51FGhCoiJ+YCrSHSna2ho0I9V/QhuWc0hx4U4X4eHp96oDI8BNw6GOIXKywJg2grBKsB+raAUi
fGGH9yD5ScYq6Rhs7A/p1VYcjuKVWpXxdYYZiD58gTMMoXkVPgKRoOhEenQCFqcI43XQU652s04J
7ui3Tq8EDls/sItEl77F35m2J2NN12mx6mJ5ehS/3j87EtfDDtwsHz9MOE+GhFtUHblhTmwrd9nI
GjmqyrWf+xorTUwUOekUez7ufNcUCgV0J4x2wA5T6L7+JcDj8omc/jagvpYGPVMibz/5bcS6t3np
A+hUNBxWQ2WVWzqVtPT9ngxLi9yPiB5HXenjBV7nmRkB94TQFrQ8alOb/czbD6ogVJ6TnzG7GA+6
jUWWPFUzsh7yfnxV++YvnS+7wvMg8j9GCveGtBFBKwpmYr5ObrPJisFRktHEej8I/Js1kgQf64Wj
98X645Hyx9BfLkXsl0CmDSD3dFDSZmkwkM+mW5TopXx7vgXCl124n1PCKqhrJlMSURcRNppsVpC3
Tw9DNg3ZEAEiFCV/NWlt5RHc+upQjCXKpJ7XeNT+Xuolc+pyTVPlatwg6WrLG30zpypaB18Vp6vb
F/5wB1auuu5NKjpOQg4BHejm08cP8rea9923uVyQ7TNqeEuH8HAy5rOkQ0ApuWCUYQVKyzxZk2wR
uZppR247JV+bPhiPnazax4xBtcvyxvBAUyQXJvPzP4SPB4L9b8T+yWIp5JDREVRMF4/ivCPrvbqm
dG7QD0ZFl2lldlA6pd0EDegr8kKqfZ0MxPTS97zwS/587ZpJhDGbCnItNcbs+1cgy7IMOXsLt6wQ
DEuccNuCHEPbpI/kRGq5SqA5XZp6/5giJBdFvI3I20Aafir6pzXJKdNyELsqaH3Az6JkpNhN92hJ
m4sRxkC+A2q6/Aab+kk2MikL09kY4UwPHxDMrh/IkMdEBQumqo+ODAyXzXx74YM583QA8KIalxyE
OImcTCldZeaSCrDqgkZ5kJJuWmD42UNayq9FG9URzls7vHDNP9YlCYGS5f73w9H1ZSv3dlBA+gl8
W9Uw1SVVdewbvLrMspELTdH/hK/yR6Es3jE4yKj9iuzCXPOb3vx+iHD5Zabhm4B3cIqXl3oRTkQp
8HDVxuIx0xgF0m7CszBNt0mNbhOlCmATIG40kYvMbeETbScVVYqUJAeLsdE3HUhGtx5YyJOi7Dzo
76BNSxQmH4/ns48KcyCgZDicRHC/f1TTVJRRCrDLjQ2QCRkuyZu5oExGi6R0kyLaV4G9GLV/slVM
jh9f+8w37JgOnwXrjbCZm99f24qcCD87r6ltm+6GviPGtnGqDyVVGbKzgGIHLISfRlEaF+76z5WH
N/TmyiezZlNOnd5WVEu7oU4822B71uV97Cn59PLxPZ77/FnkJOsB206ONe/vsSoENLW5U13UGq1X
1SXbiREPaqBp4ZacguhAm9e88AWee6lvL3pye4jmnBZwAYg7G32PZhI7lfv5j1k172RpLZieqXJR
LFr0o8q/u4Vg7AnDVjleUcfQl0iIt2Ov66yGLjLjvUCyDaSgqq+IQ8mJpkM6nuNHvfARnXuVxEiY
kl0LFz7l7U/NgPMftIprZtieqQEkWz+R3y22rBeOL2dWHG5tOR2SULH4vU7OSwpNHgzgQkVLl7Vu
lAQU7/MezmljZltnmrt1RXV+O9p97o7k/KEn6Cw4lqF+4RkvyTLvN4jLQ7Y4qpK5QO3JPnnBwlSz
Ig9hGMLyqFeIscSaDgJpznmSemR52bdK15c4FzrTm3PVB8GHaIxAz/DWSAp1Y+rteCg4Ke8//tq1
5RGcTn3Y3XjvC3wAn9H7tx9OnYnZE/UZnCXCD0IdpXN5T1yTjhcdJhXmhgGNAlACRCw4yeqqJoiM
KTDXjMH7+MecG3rSEib5O2ym4aW//y162kkMOL3mDpbWb9hs45iWZbSLJ8W6DzMnuPVJP7vwkZwb
eszF0lzyMAxhLm/uzX4M3zQcctwULux3ThRmb+9kNl0rLbodcB+Rh9CZ7O0aWjdO1WT78S0vwUJ/
PH+4TiY4EDaEmLHeX96OiFxNbUYD9DC5pzxXXmmqIjfmgH9EoXHhgb4d1/lyRgusoT605J/d8K/N
VKydgUoaOXB9mcq9bMxyjQQ/vjA3nRuvltD4cUJyuDl9QFki6zEMOsIjcqLMcMFEGxNbxaYRrXMB
yn/uYVBlxQjHxZgjTuZeHWNmkya4PQBniZ+9k6rr1ErbNUlEA+mxtrzwwf25nunMC2zMqAbjx3RO
tjoDs/+USEuj+0WWXdqqGPfrfIR5jpVJr7RrR+ZA5bTg88dv/c/ZgOsuOwOeqMO5bfldb745TDyy
mkED0pPTowckZsW6t0GDfHyVP79srkJilWmYJPPw9t5fRYcChQgJpD4UJevOLqW1dowuWYeEdu/9
ZEIYVoTZrhQkOY62fWGa//NdLldf0qpMVlPj9F2CI8iGgswO11FCh10r1LUwsYOnNGdzEFSxcmEc
/zl56KpBlR5827K510/G8aClwsFIALOsYDNdVaAOBGpVdtkkV0YCPebcRObu40d87kVSeVwOExTk
5OlJwvD1mqhMLqrm5nAdsGtzG/gEf3sEMjVoKodGxgar5sln2gkIQE3e6a7DEcGDemjRvZo65NbI
VD++oT8H+3Ipa7E5L/uB0xXTwDeAs4YbAj4wuVpW9lugLK3bFX+/mLn0GAQHMIOBDhJueaFvBkET
0GY204kGr4p7YEiT72HvB24kWwpgE+qg/8WdYckk2Emn3nyatDNLf27B95IwEqMvaCqOoLoD2EVH
wHPhUmf2Hboql9eF0I095Om3iLEK7rbodRc6WLIZ/KL3QlthS6mRDjkNGUIPbOj4TYjVDhyMKLKc
SDgMFTW7MCou/pTTKVUpKydrUcw0g9q5vV3a64Dle2O0gDZsJQcLFwQg+igGPNtsFNwyG4u1Vtfi
wkM5Nz4B7eGrp+JC/ejkIwa/g20xTzQXPm68s2OyXfTbObRV6FS0XfsAstrHb/zcDMTCTq4S5xWm
95NbVwKtLSHAcEumUL0klrrXGBgr1TJ89BP0Mh9f7twNOjp3ZrOS4Mk5+Z7tKRm1CIyJ201RtDfU
0fcyYuLXWZffi0TpOVBE4YXXe24BYw9NMZR+JY6Ok4eKbDbJqV8tCwkZCwrS54OOJWtbGGZ9T3Oi
X9EoULeSuIwLVz77cKW1rC5Icmn/vB+9VWh0JlASHc2jjhykqycvIynX7cIi9HiZl8bUuYmJKHZq
ADjh2aed1GyGdozNQeHpGn4DOTrrBGygHMo78Q0X5kDjzJvkwMCOwOSx6tTp39+b4av6QAYEY6ZR
xuuyrfatuvCm6shxswq7sIKMGM8PeTiacz2VqnOFguFJtUvgQogaVpxxIC4EA/5NlkD4TOgYZqJo
jHmMdwOA+C0ZbNLtjehJ9QNjp4pQe9KVOTxGJXIQ0SLjzTHUbf0CkXyTOvQKGopFCu7JfRSH5MDq
c30ENjxjDcQGFBhat/n4cz7zwDVStSSHFUJLSWB7/xD6PteTeeTTCocscWWpN/dUOQovrIL5wsjR
zj7wf17rdBlNItC7QahzCGkM5Spzpg7JJ6bZKJPVngSX2nXmpt2UBh5o34dbhjAUdVKcpHuqiIj4
K6PbYiQmsb3uMQxg9uN39vLCIznzzfNIUGcaPBQBqeH9I8H5VidlyVmJdHLtYKfzpxpd9OeW5hnz
+0yQ3sev4Oz1bALwNI5maIpOroetiEijZQPndL1/n6lDu2uIPNjUHYZzsxqSC+/h7CunMkk6FbsZ
dvzv708JgOO2UtHcptaC63hKyzWB6RY2NkTUH9/a78n3/bmTPhSZe0tJlOOXWHZWb1Z/xYwHJV7K
LFmdtXCifISs4WwoD1hkweMVkP7vktGy7pxWfYB1Sc5DkkRwbRXSctKKiCdtXIWV/jPuGu26Hp0G
33NjSnMdIgrnMwG7ZBzKcgSa6JPETk2u9ZxErV1lBHi15og5IjvLMI8Q71QOAmmi3+urVslnjAJV
aX1G3EOqSRX64oBTarTITCFuHdt0M9yN5DscnJTARPpMRvdYWVRLVlRMYaywJzc3OXz02zQlemaF
mVi+iNQYIR4LA3jfIIqUbBUEy2IT4tjDQkOEt41xP0C3KKwEJpefJr/A/nX0Jrqg3FYwiL4ooWF/
sYd2eBCx3t3A55+eM0j+KDFVvd6UYCZ11vRW/5Jx6klxEAgoBoZfNsY6Itvk2xBX1SMQU20zQGTF
zaqlJpoxq/xKZL320Hbs9VZEIXjUg2aVJATiitetNFA5wbxvXgPRoZ6gXu+rePKgg68bDh9bYlFA
zn/8gZybEjgbqZwFkaT82ZphD4GzHcwapdZF2Syfq7SLPKMjxdCWSY5AuTEuXPPc94+amOEGGEXl
Au+/yUBHiJAJrmlgEN3nfLngssLJa0aUdh/f3tlLIbOxJXtRtlUnC7cA52nrfbtQ5JhK8lJttmHe
Fc/zzMv5+FJnSgwQh5izNIpunMlOMz/1hcTalT35UE5iuYbTiqOahVhGAueqKazuFr5cvi5Vu9o4
U6B5tTE5a5PC32Fig7gGEDp4VWrM+2HGQAmX19l+/AvPvWvMVBCb1KUKchpPOdvNqMNKV10/yAoX
zXhKGBuuGOLJMCuQqHHVx9aFzeGZipy+yEawoaMrsGnJvH/ZQ2cCksFkBOgAYSBJWxhfU3MiLiHv
yx/Zwl5claAIn4QNHGRF7k3wRAbF+JnYNf9xqFIcXhE+3TsykrT8wq9bdGgnZSH69JQK2dmxt6Kz
/P7XZXoLh0TzUQcDHAsQJi55FIUGvA4K3Wgfu0HTnhNO83gqdQNdhDKm8U1oGBVMGVuPnvOwrHEa
5NlVEEHTI3LMVG/QQuLLgV74lfAt576cQxDrPhuV75XSWE8jCRCvnTHV8sLtnFnIdPqPKgIZShGG
cTLZE/lBKFY2UmPDK7uxoulbU3bmerRxvhCTov/970nXaSUhwUWRR+3q/cNjGUIOnc282kY1vdQa
KwDAgJOlH8o7bOYLKIFh/fFHfGZEUz2loYtFjYqAs/zzNwtaPdt9Be6G00YVBdRriwbzqOOAmTOr
C5c6U7TlEEWZAzUUW3Aade+vZVlV0c8RN4gkBn32FJQeKMMlKqbFJ6XovmsVje85A6m2c2Yfx0HN
N0o1xTjaivHCyz1TZvp9ouNQRxQMYc/vf0zcYAz2RcpGMQeQ0lDuIfAbEwHgczgE6pAfe2CgaxkO
kVuKuL1w+T91IZJvS7VUngRKCGHo768/WLHQ25ACrlFL6zUDXvg4mzPhhHg4t04mjPuktSltJ1n9
ZANaeCznkpYV7JKVEUpyFFpYAfjOOcU06nRh8j335TN8f8ttkDOcfoozdGsfxTc++qzSoCDE12Y9
bnFFh4c0IAfj42/w3GkfRRyEMVoevInTSQ3SgoGti5rK2PilS7+MIKsSjz440QbHm8kboI60skgj
USiF5JVmulQjgwur2zKeTzZ3CHUWwRj1FtQHJ69EFyW4KVoIbrCMcPw9UCKHXr9QfDvz4ZEHTsMK
np9lIYN5/+KlBW2gSQeYeKnU7otJx6kNw3qV9u24QfOVuxgn6n2ODWLfVUN64SbPXV6jYQCrzUGz
eto0plMUpv1EqtbcU5Xz53F2c7Ugq8TPko0JrYD4PlzDcVp9KkNLubvwqs/MN0tliaOZQfcOSdn7
u4e3Y6lRR6Uu8slGS6tUHju1X1y9WrZpe3vaLV0BypGjjUYWk5awYkxkPkfLeJCLhDhNoFOKB7sc
yguP5syCzhGCwOmlus1G6mQCjpx+NovA0N0J068bgky7q9me7I2GtlJipP1qIgbkwkRw7qJ0URBA
8vlTAj6ZFMcOsjqMIT46LKl1ndwYXT5vcA9EO9KQrOPUXmrqLX/i6WfONpc5j/MZivGTKwJHWRBZ
XBHsN5maTh5vdHUE6JPV1VVohcbSXgTwZYRkP07KEgLljJ8Sp35JHYgIisAu+vFXcWa6MbBPU4xe
NORUvd5/FCkpBaCt0EPjcISuA85tC8T6iZQyYCMZvsmPL3fuG6SxyXLHuZiS8UlRJgGs6xsQs9xI
w3Mel4IzUsdeUjqdfeHtasufdfqw0etSliG5meCN5dbfrK+C8ZYGTmq4tI/bYyRKeiZhG6+HUcMY
R6DIqhgafP+1QrUaJ86+DGV+YTY/94mxI0O3yQNGenGyxkeBaJocHbw7E6HFuC/AfszWU67iHsbK
i6M7Lr5//IjPXhKl0qJLYUCd1r1iLSpGDK1McnPY3uTaAFLCJ4fWgXXjImqZQDSS53LhOzq3qLIV
/y0U1UjEORUBFbUZ1Ynm8yEl5PRWaVJ6ydjJY0Um9dauyKCC4W57hjSR0PttbG9mhHQ493MQZxOW
dxV/tjcYFpZuixf08UM595mz2jPxsfIjQTfffwttOttmg3vVNScNNYiDF8cqSTacqPB7Zjw6l0b6
8geefnyI1iB6YvihYHEyofEpgJdfeC28BRt/L3UBGWvJBstTufWN8ifYGkLSA6zqZVI0ewCIzrrs
7RzLlhhWjh+s2B0O+48fw7nhR4sBJwuNoaXz9f4xiHLoiGiMkGMiWpx9gsPRzhH6skS0fHylc18h
+ztEpha6GPTg768UOA2MOrR6bqUE/8Xduew4jmRn+FUEb2YGsLol6g7YA5SuldfKTmXVuHuTYEps
khJFSrxIogYG/BpeezUL77z0rt/ET+IvqGS1gmJJmcmYrp5KYAaTVTURwRMnTpw4l/9vXbcgQiPG
uxO4VsBLA15QuaKn/lzNT96kVPKQqxG1WfXs/T6jRNkGSLvehzB3MwCwa7QLgQHp0MVCGYX3QInS
w+nPzBModW8tTDlArPVsUGoLFP3M9WfAG5otp7cBLqIXBQCizwOIJE5PlVNzhsdCrq1R7ZASIest
i9SuWWaj6m/o8p5Xaj81zbX9vlHpXEUzE0DRJdzCm0XHHlg8OUd0nWk9kOe3AIDGlWG7EYVX9Zmz
o0a7vLxY4tgO3F3VoeiX2HTsWWdMb56jg0NJBX6ngqHPOjozM4BxPgjhly1DtaOtTB2ia//S8kGQ
fVzP55dRY7fuVj2rOqA4Tjszu5BD9uhRLNup0xLFXZuNQ9Mb68Lfa9bxJWOgLENsbhRU1vfbKFiO
iC5WbiqL2UOzvY3fcLo6vK1QQRIrJA3lDbIAm7Ubjw4TWw2CIpW2edXaljd9Hg7hW6Zqix4zKCWR
c8ae1UGRsGCFpNbwkY7edmW96DqWFg/aK0BNTutdkns8kmeH4C5fRN9D1rJbbYduhy1xRdjsgtvq
MoLU1w52gw7YHVbbXd2A2Di7XG1XEzJqGh4MDJ8NelhHzk6jrjACSqRcGXWCYA6VTY0eAuxu1fEr
0CW2K9QHOZsrk+tiZDaBk/SsR1jsyqv6ma/IMw0dCvRo5cEo1ZPwyYEzEAPRvjNn67rIu2+Hlr+g
fNaFsm7VWsHYbAawzmz96rkjm+OCUKQqiqSIEIqKOVkjauU4moMAhuhAMLyaY7m6i0dqRrYtz+77
JFT7Naf+KVqAyOp5dMCvPdq4T29fjoXCODVaXMosALRyeQkW2a7HeQtNAaQ2oCBpsfywbLd+tLcL
+/r0THkOV506HAwhiTCR5pOnIrILMdSjVgfMaU3tLYgXRJi3P8/hMB425144akVgH1cWcNLUmpDA
bEHCPnMu8gIdPO0JplSavPOOlBUwlHVUeWSfaeaYX1CIU+u1QBnorhubzXu0r92zWmCYgcRSvvZC
wvcLu9Gh2q/zeAnBU+2M+5e/HKFzUDxSNpS9cL0FBH/2nDcz2F3gJoSwG9lVrwxRR9jou/gB3cZ6
vRvW8NgGG2KuFw6wHL0lWOC9mLv1zA7leEHUGFS4kLlDWI/QlYNDYINSVQ4rlXp/PmtHV7sqBmoH
AeJNo7z2BzOveqY4K0/1KEIRqShaA2hgkKeDvqYBm9eC65jMKciR5fnFzAKyj6b+yhlB505Fmk1k
22CVyfrZgdmK3Y3m1/t+5REjApfbVasB6sR2VT6nYmLVGXOYtAimUwkhHwjR3Tgx+SEO1ExAF8AB
UBlowWbVP3OYannTiIhMUvRCm688TQvEvqANbno/dmMw2AgEgQIGTGxASeBFsJ5jJUH6uaiYNXfU
roEe3CkTarYjqi3BfrHALAD28MyahNN69OnoTYukOpHwbPEAbEXBaisuuCbZIgp/qRy0aktCBpq/
GmqA7U7sx7jeDXfu7gYaKk+AYlgjWGS1wemV5Cky8XyaMTAzHC8hvIM9aMT0e/meOFazJWCIi9Xs
hhe1023SecwVMm+cc+eFoT76cp7tDRz6Kp5lZsJlrQErH/R5/WXlrg7OMZwu25/M8gacuHjWFoQ7
QLOvGvP2ALjl1c3GtzpDuJTnn+ButM4cq9yPpzOHgpEkHZGx6Evbazg7L0ABd/Qkdx7BLgyc1aq/
ClreEMqcyDmz7zl3J2kgEh+igUC8pGVpL0HAcsIV+MW82IAUg0e5G8CM0yt73o9EB2d9CJ1WZ+bM
O9BJATZd/BzpbONAOV57y8Bb1/oV8A8uF467AbMK9JeWvTp3Syf3UnZzaXPCQnNaCYWKtRxoU6sO
hlEZON8+uNCNQYWuI1LCAD5gv/zu2jWDftMjRt2Zh52+Bzdkz4kWEALOH8tDH3CSPgFtc6DNAZJs
hMvlhQtMx3W7TgMkbEPxUBDnQMsMft8apOv3G6sRd2HzqPXiuuON4A61eu621h5a5dbqg0Mr5dCy
XY1alda5IFuOYwwetui9FlnSozfZrt4GbrC+q1HwuLD7GqHmvmZZzdGKABN45SFhZtBWL/xoF56x
Znkqiy9OKyr8V1SGZTSItqVOG3z0OoWlAhl86QV3ZrPsdSOIo3idVCpvOCJ1gtmVGilCksGZ+eZr
WOO0OjQPVtCKwUTeNruaBzFCYwkDp2fXmu9P26M8yR7OlzmSNbi5Gxbl1LQfQacdrn2gX8vWNcU4
4UVQ38xh5K4BcwOE4e3piXNeWgQuqxX+06INKfvitRoz0mQVCjCoD57/3G647ctZjEfb3sUbqJQ6
85sF2tSzVy1zuJl1ztV05WWKaYAmbN8AAOO437rs++XFnJdDfzeL4J149OwfH3HDLz2ns72wANjp
hYEGHMMWbMNNHcY3wMlWuh1TdtZy/esOzGAE+oNWb7Pxndu1PXfP7EzuCkWXLW8lgv6IST7cM+BW
ozqstIQ8qCKEgXBa2654KLUawWglCuCXrfam+xjPFtSkbbVhG4pSnsRO5TrQmpAFxK3ZzWa1BCzQ
bIJPiaM9Pr2FeSmYOjQtiI8LRkBzyyusBmWwXpmV5ApghoB1O/WBtwC+YleLhxvYSPoUf7T/4pjz
5rBWJgwMS5HzofJo+Wdu1TxlouGzQ+a/gjHM2kEoRqrhVgAo1as82wGUnUNJNQcOfvdoXjajZnMU
res/7vAgh9AVkD08LYg8k384fcaxWlgNPwZUkFTUNqh/fCRKQWML4bMuvuXH01MlxYZZk09/UGIb
KhUKEmWZ2+tZpdOwPAqz5gD3b7R4MYgAU+779YZ3EdG9cm+2teAaKF4XP2cWj8yKa12A6Dvvbd3H
xj2vmelCm407PCcvqdVs9BvVbevf8Asp13XLjVtSQLFeduCyhgQNHtR6DVTLzTy8tqJd9ceK61QH
VRfYuZnXEgiCc2+07ayp2tFM9/qR7OgQsAR4cd1F7bpBKvqyEWmrYeRo0QA2603vtDiS9FpWHG2i
1DT6U/dxVPiKLOpuNaJWkssq+sGyaPalca9FCTBso4AC1K7Xy6h1qS3i1Q1AVMth21purnZ22OzZ
tfrug9cCopP0kuCwbrX60RISPehftA+gzLsjSPBcjvksNgCB1waNdetcYiVPdWgCqQqfiJs8Ww5I
LGpT1WCSgfyPpccLC/C/SnM+IuXhn7lahL04EhW5Y3qkKXOkSVrWnEbdXrejNVm0eDEHh4uqF1Cw
o8Xtkkh+t7WN3H5Mv+7N6Q3K/T4sRJUIIFRM2cYMoAoW1XpElqbRcqJhbd1YfNpsWnqVcrEzT8S8
mSi7EHsKRvrRG766aPGAKjOT72/CC2rWLx87a+1u3qqd8wlyZyLPTSaUYjMKt2RB0uyyok8Xwwy2
+vJCW7jegE6ux4HW2pTP6HfuVCD2AD1DpBbbJk+1WxGuo5COPat7lN81V86wFeACQdS6OvNSyFEP
enTIsdINQWtYM3PdLCAs8H1wfft+YIYXoVkzR40qaMmUqNJ7DZIj5NpnU10539cgt0SYh8NP205G
lJ16YLbdZUfrNzftzgAuSYdqrMYWAMXOudBuXjSQ5A4ZPGpWQMppZyxnAMgIJBRkUmCAcUdxk6JK
m9qRQcWqNG/Kds0fbOkHH5bL/uanmeXCEdsWWAVtSGNpVQlGZccjCNwxKWcEKqTPrd0Y7lbl9nUL
EN97T5tplEbXPGOphUQngGwekTcyRxCZ/HT6TOV5BtTDkJoj/QlVWva6qy6hA0gqLeg68t7b9Fx0
l+XAvIai07xcQ57d16KZ220FzmwIImE8am4r8+s6MLC9xyWgqpXNLOz7i03tJli7gluv6X06vUSh
lxlb0ySOxTGkqIuXp7iwDx4mRLKqotGWsvKYEup6awtGvgWy6OlZcrTnYJajg9he27NNxeN0RJ5V
vrQsZ9argy8A80L5XHNJjoeB3pBwFkgWaGzG1XE2RNtC3vOUPEAXYLbm61GwipbUALU6A7upPf6A
Pzu777i15QX1uIszhzPvS+n5IjlKeoBAWEZ3K1GMXseAIICKaPO5EB7t6uGkvPGD0etlSvEn2A3w
NZKHyMxUDWvUkIgqHsszvbFXa21GfmQROK/VNnu36VVYYSch/ApwJT4voq+H+iAByPshMvz43ggi
JwxSSkHxt3ee7YYP3tv+0emBnqH5HuKl8a//NPEiNxQrMOGJPwQEoxv5YIc+LylZ76kRHGhBw2jK
0I3adyKYVOOK3f/wiHM813z+67IGQhgQEhhOgnHiZz/hgYi+JITT37eX5ul/c+oLjM/IhQKcSeJC
TRb0ChHUm9+J6CkAaVxbB9+ufZc8o5siZbz/SSb6HX06F1HRb699B0QFW0yFb/LDkT0QASywvM34
oek7+eGvkfXvSQSiwKXQ9jegDSW6C9yllncCGiiHyOWT1N3/YL1/XyIAKaigCOqV78ixY7iJjyU/
GSOAkhD9JdpCCC35+d2pgciyFNOC6nd0vIJdSigi+ZFtQRUJ8VSkx+j5JLxCAi84LZ9vlZ5lO9Pk
PrGNIO/a+dI/SC3p8d8/W9EE5JVC6s8wjsm/FPfLfvK9QRW//1m6bpLDfvCX/wIK2sGv0r8Njv7x
87cfznX4R9KX5n5C+ofvbcPX/Qnl5onhf/6oW33BHfbODfkrQXR9eDeSC01/zb1Ffz3Eksw+Wzfp
Tw+2Il3R6//+YCcoRuUNIQ31TWxFT3f1qbQNIjj7q74c+TKfD+2pDR75huFmwVBFxLDowDfG1p54
6Tj7I3JWa/YwgKfWO9bxC0t3qKxvlMBwLd3Yq8jgXj2ciVBM+uuX9PP8TB9dOzSmpXGoh0aQDie+
g4rn9Ne3j95DvhTZlt4tDD9zusgyCFbuL24Ai3nR1vaAjH96MjJg1AQnRRPz2fHzbMlvdID5/m/S
lkbw2umOzNkuCjy+uNMv3Ohbz//Zc+aliyB7kGnI19ht0QxEwQT1wiJRdnq6r7fv+EmUb7/EcHNP
uXzF0ZUo35/eBN0/829+F3fsz1kLgL+c3abnT36hRuRf24Tyjm6MV44byNqroV7FVkofhLc00jGS
a4JwKi6grKWvWyYHIrRyTWviGxQa+13eKRYmu6Agxl6Uv2bwSkQ7ahF5fBAnQd45ikqpt9HaVBiL
hhX4Bo4sw+tkfkfQBoCwzCwCYIraSNGGJVDnKqIdRP6S6Nfwy0svNnRGzygivRCE4KiNJ4HC0516
L0J1hSfq6g6ub44LQB0Ah4lAL+UA4DxR965iuhsopZZeqC9kIVLsR+q0LYioRHMnYMRHx+MNQrzR
Tcs3nlIpiZNHP4MAxhXIsLzJyQ2JeGZhIX52Q0q3RmgZvrijJH+KzBDknkixxnMbOhPQZM5O+/Vu
KSLNmKeX3FIHm/KPcAs5T0c24sQ2vPgimnq+L71aCIB8UadeOqqwwfIhEQ04RYftGo5pR4t0oMTX
P3UCXrjarhdgFpPHynvD3xmmt7ZdSSSCtEHB4nU/kg7W8d18oJIvXXzkmLwjpOWK3puiy+0b7kL3
5+lAQtaipanosBe+ceQDK1C4QRBmrzbRaVh0tb2dMbFk2YpC46LDDu2jF72Atis8rO57xvMjQ9Kz
k/fRC/Vs6OvuxEgXKdRBJB+KLnlkP/HiIoSVDiUG7ijYuRFpKzcwYmncI6c9+tW3eaEYRoa/0F15
WBVyIMojS1cAfhaVbs/3SHZJpgF4muLjvo9cbI4khKpAuiq63ovJkXEg7K5g3FB35NWK5FHR1V4a
fkbBKNZRMKzuQlAWG1LALKENKrrgaz1cZ7ShrkC613ZoRVnXBCCh4qIYO95an2eXrEDG1zZ2PTTc
IDRsWc51Beb9OtoaiyfwDM1UBMKqUS2b/vr2qOSN50yRSTpQMm5DgVm78Vw9EwxuKDgiN8K2S4sV
kAtF9fgLzxTqoRWM7fkbXbYVKq7mO5gHZT4zaheLr/aOOEpk6k46UqIPKpID9x63nHzwaD5Lp3m7
/ooTbWQHVhFiHSdW04f6PV2kkAWd+OmvBda8JKWRDrMfVcFJHq91HnT+VBpYUyHijTGVLw9gwtJZ
CkhhY4e7fXAgHSyRhYor7+PcR8SSc0mcKJ3m7Wt+zhBd2a459eRn43EAN3q1L/gJ52qC3vXgEU0X
m8jkZHzkhY4mFpkLygBoWRpaxatmbPhPmbPdUiBtshtGyfv5S+yqRCvD+O17uQ8Z3+gTY5p96Ym6
VAWX1ZVHe5kkbSA1gV9U4Nju6SzznmZAO1KKLDq0DtgxT1+QXy+0JtIe32JgzSTFqx8eMwW3xjvX
5M4/HFSBHnW9MNhQZnA4rADTO60w51PpXe5k+YpTcJ4E4Yk7tdPVCcsounKKrrVn6dKlqeKiuDeW
0ZNDJgHzRQi81KMKVLIEdQVua99YeBNf3Bml8/Mp0MAeBUK+Jxde1BUoCxTNnu8F6U6KfRWQU4X3
lQGSgosk2+p+llE6cjKPgtdZT18apU+GP5X8jZN5rxde2f2ZzasvlDResGMUlczAjJdhOowQg+gx
KTzoKtJDD7vnlEYRzpdkU5oK1GTg26EvD6vCyxiElg19nbRcAVBTVB4PHPuRvsg4RoKEq+jII/1J
PoTnazzOW+yRlbkGVLgpx4pA0WtxAfR++Z/QKE3/cLH2bF86dXBsFx/+ykgI/PbbJI5HTs1D9Grn
/tp+ynoFwLoVX+01OeTQki4XnEwF49pPsXQoqCcqPuoNFY2mHkzkAD2ICSqGjgHnltVBycNJd/SN
ZIOronuy6CkmlJUZVIERvuEinWTjbkpkG2F9gXZNvzs5FqJLsLgYxMjZ2BD8OQqG9nbC/lItmo61
X7UCNb61cfGlUVVcGcmo8k1E82I6zdufunszXO7aQaBH6XCJLI7rjF5v2O5/+VvkZnqpKP5P53n7
su95mcj1z0DIFB92bMQTy3AcQ1JmcPkVDL0v6Toq76OpXMHgInojh2bpD1Qwriit1kvXhpeJmAmC
iKLHe0zcN1MAS4OxgnGjqVzmTBVR8VEfaKVMRxHnA8D79Ne3q/H4l//ySg/e4pe/JRUhd/4v/+1O
bLkEUhNwUEVl/cAxzFTJaYL2oPC4urvLGugE+bzowB9B7cwccBX5Q+IEc+ptSkM9kHdTRS6OLhk7
49MnREJFZTEgDkORs+QSwNxbfPd+OnqDAIelYFh78aQ/baSrFULb4gPvy2LHR+dbRTKua/ulB5w5
Kb9FKWzxVb97ig1p74ChEVgoHZCqiCYLFp+z9unrxWGTqu5vMBD7s8mr1g5wL9MdFlZdgfa/I3P1
pNszeWAFrto7f0HoVHp3KXgWdHXXdPSpEViHclCRabuJdVHWJw2rYsFWlN00BaalS/xYPqWChrGo
5SYs+uRN5T1TcY2Nfbt0rbtzSRlURAxotpQj/iruxfdEuEtX4r/G7+5ToSZvDBU++4VLks7IODdg
x6QTvd07Y2R564CALT7qpb6UTUNVAGYV1bSr2DfjXdacccsUH3qfDb3yMgFW4HCLj72/0XPGVnCk
r/SdPreORaLgXF/rck6ChGpxWZBv1r2jIyIomooqB/l9EoQZXRY4VYUH1p2pvZZfy8C4KhlYj7Nn
WkUq4tZYyu9kkI+KL/dO9ykWcPKS7lVB11tUzndUJh4psorS5TtwEOwl1GfyHp5u9nlhimpMKYy+
xGyk3588mwW1S1FxPFi6na1xg7FdwcD6zD6WNO66iqFtYlbpOPsIgooV86AVbmFWO6CJTud6+wX4
cfdk5IhDRXHpJ9sIXV2uk1Jh6j7QDOStS9AY+tGy9H1pQN7RC6OcdugqTA0KNuB5wqvI1QOLN+T3
pfR/2nmTthJ2xKIHYLwkt+/EefaGXkQVvs+NPZ1SYjXQgzDVI6GzsJ6cHD14oW14ltrYssEypazt
+9Ln/5nTuA6pcwI+XFRs5FX0WGeDfNv5v//4z2Aufhv5MYknVvCe3OlCT3eNL9lPJz6bjl4AHhXE
Ah5s6hnK5OXkZBRwjh24A9Mp335ixwaPgnmq7sH3fVv3Yt5LdukH6mN0KeYFEylAkgom7XvzqYcA
H/Q5z0h7Ib1KOuDT0bJa/NOu9Mj2balJrCqwlFoCk6ioZtyBlmuXJ/RflYMgSscTW/88h4K9p2zY
zBlZgQ261pehlXFr9qI5ewl8vcDSvpX9G4ws+abQRvkZfdJovtBmdnHhMz01mgK17Pr6To56qshs
9HAsJcdPhfXseY6XrZpR4TQMJpFOa/Lh4WwqkOzQN9yJJUqeMvUzKuLVQ92ZCx84zwcQlGhFLSLU
IplVYwmLDzvm7sXvk1Qjgfktul7xBDOjTDtNW8Fj487w5QtBRUnVRz/KLhbqiuLi/UQieAcElnQF
g6ZwbuSvdw3kYY98g5fCHtnLLY31hSdtjoo0fZdGYZJi6SYnj0sFgb+xMLeem2dhVMQVe97EC0p/
vDIMh0jBn/KmUVFWloQvadCmV4QKVHK/+weG5N+raGvseV6KuiWPfdYHO1+BObRn9uHuqohZDWnd
4hX5GdUuaaexJ/5xMP0kQNwLnZfnu5DexPgoWH8S4O514yfxZLHZ4mb8DHwlciUZmBkFF8MokuMX
x6BJ0asrQd8btOk9a2jyDTcTWH2IsuZpLegzqVK8/cV4xaPqifKCdKTkzaOi5KRn+USlFnrwvHR5
AgUrvzU2pZ7u5PRoqWhcu7UztYEqCso/QUWrh7I7IdhVizo/tzrhrnSYZAdVnFkh4J8MYiaZbmLB
zFd0xXd2ONFtDmqONQayS8EE+jLSQZna5LQcQIekYgInWzGpQKm5pAKe8vmphGPEvtdbmD1m6nvD
MVz9n0vvggnIBFRoJsbmQZxYonGEw3qRa8kOhYon7IM3xzeVNBVS9+J78UCCS16tiuTkQ0TfdGax
CjTzL2yvHSQCH0YhceP0+xO/TUX9+JGTCYFaOsnbb4qeyBQZfvjZI0yHFOtugNYmGNpqsPARlKvD
hpb+9dtn/HiIugu4r+v5pQ8RgW/8xTzDISjYoFmEKb0NzqmAUj/72V/x4ZMDh1j04XP4NULsQI4f
/tFA9EWngOcn/komjRChnDysdGmx0tDPt4PQizwsRun/+LxMGa11ckjEcYSXd/hJ579y711LH5Eu
4BS29MjwfFNOmavI5N5HQSatDWVM8ZPy8Mv/UtgaG+lIiSk5D812KMl0B38bvciDl0y3Jdmrv7te
5H27avj5PGjQb/ArczBJv72vzEMm/fa+co83/9t+1xstNAid9k62eArc+p6HC1y6z8DwqyiWGjhE
/5x1NtPQUlD9RygiNOimkVxJFa8FSjenAmD58F7BvUt/FUb6bVQTtwg4CdinQ4kbq6oiEnRHjE9O
QUNzn87ypQXnXQa/zUVI1/Oeg+Ef4sy986MnScmq5yR7PrhJmM4mGZI8iLq6/5SNZKuYwYxsRz4d
KurQxGo5zvLpUBDuFfgAXd1CjaWhVdQJ9/QYtLW8x5OKqq5eRjtUPGb70MW7GXOsokspHTcf/UNF
ESt0OlmWHhVAfBj7KSQ3kdwmqKJd973O8zA9bolBVvE2uUSPM/uXEBsbBVG6CJWJrrhsD7cKfBgB
iBaI1tdQksZJYP8XJiruAAsOPeFgSMVYmiB8LCqRfWzvyg7DfXjp1ljbsgVRUfG4n+U6msivY00F
LhoRSNee6tN9ONJ7gkUiFUvypFUBjv5AyexePj30khRkTgganvp03i+5DOcvtr2gPtlgWUNTJTJS
Au9pbxWOKq5VpDq7AoghsEqfbEIXuUZeU3E6Po5PzqBAkbvkvDLwLVBeF9+RHr4sTRbpQIlKqaiA
HOuyV6SpSOpQPx+WBrAbkJ2L5GOsAvlhr524MKH1y98cYxEfSgUO5fTXAvovPuBGZwYZI5TWVxWt
HPsP2N8CpT/uMeP/lK5abG2NmPTZp8rX8/z3tdT/EG4/zqhATT0UriBDLXpf9eJlhqVCRZ5iRN8X
ND2+vUxXuHdlFNiPC4gJpEFV4FVcBL5uSG3nVRXCZa0raa0qkHkvPX+aEYGKGtSraIPrKa1WRef9
tQGNjYyHBn9WOs3bDdsHnlDpKIluqQA3+AHOLF8aVUVByViPpnbpna9ngSlU1I6MYyqqDpesqXii
Pmf9xJpLg4UtapTk209TEOb7Cy0YvLFdqZ+AOHb6NW9Xjh8N+rHSYRIPQwWXza1XQun+EJSy1RgN
FQ+HkYCML42jpykFABAQSkexrlVUmGUgaJ7yXG1Bh11tqXgYv3uKSjdRIGnk8+gKbP9f7wfjwf2n
Qf/fS0J5RJHZkf7DzkbyuQaoRxsy83a9/nervM1zWw6yV8+J34lDPdmf/x8AAP//</cx:binary>
              </cx:geoCache>
            </cx:geography>
          </cx:layoutPr>
        </cx:series>
      </cx:plotAreaRegion>
    </cx:plotArea>
    <cx:legend pos="r" align="min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val">
        <cx:f>_xlchart.v1.6</cx:f>
      </cx:numDim>
    </cx:data>
  </cx:chartData>
  <cx:chart>
    <cx:title pos="t" align="ctr" overlay="0">
      <cx:tx>
        <cx:txData>
          <cx:v>Box Plot salari per ruolo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Box Plot salari per ruolo</a:t>
          </a:r>
        </a:p>
      </cx:txPr>
    </cx:title>
    <cx:plotArea>
      <cx:plotAreaRegion>
        <cx:series layoutId="boxWhisker" uniqueId="{25134DB7-1D8F-4144-8B19-5EF8D7ABBE4B}" formatIdx="0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144780</xdr:colOff>
      <xdr:row>16</xdr:row>
      <xdr:rowOff>70486</xdr:rowOff>
    </xdr:from>
    <xdr:to>
      <xdr:col>2</xdr:col>
      <xdr:colOff>533400</xdr:colOff>
      <xdr:row>24</xdr:row>
      <xdr:rowOff>154306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6" name="Ruolo">
              <a:extLst>
                <a:ext uri="{FF2B5EF4-FFF2-40B4-BE49-F238E27FC236}">
                  <a16:creationId xmlns:a16="http://schemas.microsoft.com/office/drawing/2014/main" id="{A665E19E-1076-1E02-3B3A-F2895F2FB2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uol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780" y="3147061"/>
              <a:ext cx="1826895" cy="15316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 di tabella. I filtri dei dati di tabella non sono supportati in questa versione di Excel
Se la forma è stata modificata in una versione precedente di Excel o se la cartella di lavoro è stata salvata in Excel 2007 o versione precedente, non è possibile usare il filtro dei dati.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731520</xdr:colOff>
      <xdr:row>16</xdr:row>
      <xdr:rowOff>85726</xdr:rowOff>
    </xdr:from>
    <xdr:to>
      <xdr:col>4</xdr:col>
      <xdr:colOff>678180</xdr:colOff>
      <xdr:row>24</xdr:row>
      <xdr:rowOff>161925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7" name="Paese">
              <a:extLst>
                <a:ext uri="{FF2B5EF4-FFF2-40B4-BE49-F238E27FC236}">
                  <a16:creationId xmlns:a16="http://schemas.microsoft.com/office/drawing/2014/main" id="{BEE38D4A-6DFE-9ED0-B5EC-4B7018A428C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es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69795" y="3162301"/>
              <a:ext cx="1823085" cy="15239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 di tabella. I filtri dei dati di tabella non sono supportati in questa versione di Excel
Se la forma è stata modificata in una versione precedente di Excel o se la cartella di lavoro è stata salvata in Excel 2007 o versione precedente, non è possibile usare il filtro dei dati.</a:t>
              </a:r>
            </a:p>
          </xdr:txBody>
        </xdr:sp>
      </mc:Fallback>
    </mc:AlternateContent>
    <xdr:clientData/>
  </xdr:twoCellAnchor>
  <xdr:twoCellAnchor editAs="absolute">
    <xdr:from>
      <xdr:col>5</xdr:col>
      <xdr:colOff>7620</xdr:colOff>
      <xdr:row>16</xdr:row>
      <xdr:rowOff>78106</xdr:rowOff>
    </xdr:from>
    <xdr:to>
      <xdr:col>6</xdr:col>
      <xdr:colOff>1030605</xdr:colOff>
      <xdr:row>24</xdr:row>
      <xdr:rowOff>169546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8" name="Salario_annuo (€)">
              <a:extLst>
                <a:ext uri="{FF2B5EF4-FFF2-40B4-BE49-F238E27FC236}">
                  <a16:creationId xmlns:a16="http://schemas.microsoft.com/office/drawing/2014/main" id="{47F0DC98-A99A-EDE2-8E1C-BF84BD936AB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ario_annuo (€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03370" y="3154681"/>
              <a:ext cx="1832610" cy="15392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 di tabella. I filtri dei dati di tabella non sono supportati in questa versione di Excel
Se la forma è stata modificata in una versione precedente di Excel o se la cartella di lavoro è stata salvata in Excel 2007 o versione precedente, non è possibile usare il filtro dei dati.</a:t>
              </a:r>
            </a:p>
          </xdr:txBody>
        </xdr:sp>
      </mc:Fallback>
    </mc:AlternateContent>
    <xdr:clientData/>
  </xdr:twoCellAnchor>
  <xdr:twoCellAnchor>
    <xdr:from>
      <xdr:col>7</xdr:col>
      <xdr:colOff>1082040</xdr:colOff>
      <xdr:row>14</xdr:row>
      <xdr:rowOff>125730</xdr:rowOff>
    </xdr:from>
    <xdr:to>
      <xdr:col>13</xdr:col>
      <xdr:colOff>137160</xdr:colOff>
      <xdr:row>32</xdr:row>
      <xdr:rowOff>15240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60FB15D8-0C45-91E1-A31C-367AD8EB63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205740</xdr:colOff>
      <xdr:row>20</xdr:row>
      <xdr:rowOff>80010</xdr:rowOff>
    </xdr:from>
    <xdr:to>
      <xdr:col>21</xdr:col>
      <xdr:colOff>228600</xdr:colOff>
      <xdr:row>35</xdr:row>
      <xdr:rowOff>80010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C8655C06-B1A9-E23A-5582-370B105852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419100</xdr:colOff>
      <xdr:row>33</xdr:row>
      <xdr:rowOff>140970</xdr:rowOff>
    </xdr:from>
    <xdr:to>
      <xdr:col>8</xdr:col>
      <xdr:colOff>320040</xdr:colOff>
      <xdr:row>48</xdr:row>
      <xdr:rowOff>140970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1" name="Grafico 10">
              <a:extLst>
                <a:ext uri="{FF2B5EF4-FFF2-40B4-BE49-F238E27FC236}">
                  <a16:creationId xmlns:a16="http://schemas.microsoft.com/office/drawing/2014/main" id="{87903B0A-6CA3-C782-BBF7-48219505AD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66060" y="67246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8</xdr:col>
      <xdr:colOff>640080</xdr:colOff>
      <xdr:row>33</xdr:row>
      <xdr:rowOff>110490</xdr:rowOff>
    </xdr:from>
    <xdr:to>
      <xdr:col>14</xdr:col>
      <xdr:colOff>15240</xdr:colOff>
      <xdr:row>50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Grafico 11">
              <a:extLst>
                <a:ext uri="{FF2B5EF4-FFF2-40B4-BE49-F238E27FC236}">
                  <a16:creationId xmlns:a16="http://schemas.microsoft.com/office/drawing/2014/main" id="{46FC5183-63EF-6314-ABDD-1755921D98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58100" y="6694170"/>
              <a:ext cx="5021580" cy="31508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457200</xdr:colOff>
      <xdr:row>1</xdr:row>
      <xdr:rowOff>3810</xdr:rowOff>
    </xdr:from>
    <xdr:to>
      <xdr:col>16</xdr:col>
      <xdr:colOff>152400</xdr:colOff>
      <xdr:row>16</xdr:row>
      <xdr:rowOff>3810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41C0AC20-453A-CBD1-1A18-9262F3E62E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Ruolo" xr10:uid="{433E965A-CCC8-4CD0-936C-0FB838F11799}" sourceName="Ruolo">
  <extLst>
    <x:ext xmlns:x15="http://schemas.microsoft.com/office/spreadsheetml/2010/11/main" uri="{2F2917AC-EB37-4324-AD4E-5DD8C200BD13}">
      <x15:tableSlicerCache tableId="1" column="4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Paese" xr10:uid="{60AD6436-9E69-44D5-8D32-2E78BA835E78}" sourceName="Paese">
  <extLst>
    <x:ext xmlns:x15="http://schemas.microsoft.com/office/spreadsheetml/2010/11/main" uri="{2F2917AC-EB37-4324-AD4E-5DD8C200BD13}">
      <x15:tableSlicerCache tableId="1" column="6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Salario_annuo__€" xr10:uid="{9C0562A0-7D66-438E-B94E-5E5E6F45591A}" sourceName="Salario_annuo (€)">
  <extLst>
    <x:ext xmlns:x15="http://schemas.microsoft.com/office/spreadsheetml/2010/11/main" uri="{2F2917AC-EB37-4324-AD4E-5DD8C200BD13}">
      <x15:tableSlicerCache tableId="1" column="8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uolo" xr10:uid="{19E05507-313F-45C4-BF62-CC5276AAF0E1}" cache="FiltroDati_Ruolo" caption="Ruolo" rowHeight="247650"/>
  <slicer name="Paese" xr10:uid="{5C4C3E17-2A3A-46E2-9DDD-DB5DFE0C73C8}" cache="FiltroDati_Paese" caption="Paese" rowHeight="247650"/>
  <slicer name="Salario_annuo (€)" xr10:uid="{3D3055FC-420E-45FA-9014-E36DF40D48E3}" cache="FiltroDati_Salario_annuo__€" caption="Salario_annuo (€)" startItem="8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62F29F-DF2B-41C4-ADEF-7995935E04CF}" name="Tabella1" displayName="Tabella1" ref="A1:P14" totalsRowCount="1" headerRowDxfId="22" dataDxfId="23">
  <autoFilter ref="A1:P13" xr:uid="{D862F29F-DF2B-41C4-ADEF-7995935E04CF}"/>
  <sortState xmlns:xlrd2="http://schemas.microsoft.com/office/spreadsheetml/2017/richdata2" ref="A2:P13">
    <sortCondition ref="A1:A13"/>
  </sortState>
  <tableColumns count="16">
    <tableColumn id="1" xr3:uid="{8B6900C7-9D3E-4A94-B5DF-62E997BBADCD}" name="ID" totalsRowLabel="Totale" dataDxfId="33" totalsRowDxfId="16"/>
    <tableColumn id="2" xr3:uid="{10EF33F5-C6B9-434E-87E6-41127BFE1280}" name="Nome" dataDxfId="32" totalsRowDxfId="15"/>
    <tableColumn id="3" xr3:uid="{CF8DB9C3-721A-496E-B9D0-94B2D8220D70}" name="Cognome" dataDxfId="31" totalsRowDxfId="14"/>
    <tableColumn id="4" xr3:uid="{057C32FE-91E1-4920-A6C8-D1C88D8533C3}" name="Ruolo" dataDxfId="30" totalsRowDxfId="13"/>
    <tableColumn id="5" xr3:uid="{849ED304-295C-461D-A8BF-9F96C359E892}" name="Città" dataDxfId="29" totalsRowDxfId="12"/>
    <tableColumn id="6" xr3:uid="{B41304F5-A63D-4249-B821-9AD87968F150}" name="Paese" dataDxfId="28" totalsRowDxfId="11"/>
    <tableColumn id="7" xr3:uid="{D3CED9E4-DBF5-4150-BBEF-87237027C813}" name="Esperienza_anni" dataDxfId="27" totalsRowDxfId="10"/>
    <tableColumn id="8" xr3:uid="{56064A28-7E80-49DF-88B5-8955AB4B7092}" name="Salario_annuo (€)" totalsRowFunction="average" dataDxfId="26" totalsRowDxfId="9" dataCellStyle="Valuta"/>
    <tableColumn id="9" xr3:uid="{CFCB0A70-9B3B-4CE8-99F8-0B67FC472D6C}" name="Data_Assunzione" dataDxfId="25" totalsRowDxfId="8"/>
    <tableColumn id="10" xr3:uid="{4AA9C77D-4231-4D32-A6FF-85E8B1FB3E34}" name="Tipo_Contratto" dataDxfId="24" totalsRowDxfId="7"/>
    <tableColumn id="11" xr3:uid="{B268527F-AEF8-421A-A814-49C3C377144A}" name="Full_Remote" dataDxfId="21" totalsRowDxfId="6"/>
    <tableColumn id="12" xr3:uid="{C025D915-BB78-44CF-860E-09BA108A4F13}" name="Salario_mensile" totalsRowFunction="sum" dataDxfId="20" totalsRowDxfId="5" dataCellStyle="Migliaia">
      <calculatedColumnFormula>Tabella1[[#This Row],[Salario_annuo (€)]]/12</calculatedColumnFormula>
    </tableColumn>
    <tableColumn id="13" xr3:uid="{B23691E3-CA00-400A-95BB-4AA9E688C0DD}" name="Categoria" dataDxfId="19" totalsRowDxfId="4">
      <calculatedColumnFormula array="1">_xlfn.IFS(Tabella1[[#This Row],[Esperienza_anni]]&lt;3,"Junior",Tabella1[[#This Row],[Esperienza_anni]]&lt;6,"Mid",TRUE,"Senior")</calculatedColumnFormula>
    </tableColumn>
    <tableColumn id="14" xr3:uid="{E94739B2-91E0-47EC-8CD3-81DF9349ED81}" name="Salario Top o basso?" dataDxfId="18" totalsRowDxfId="3">
      <calculatedColumnFormula>IF(Tabella1[[#This Row],[Salario_annuo (€)]]&gt;Tabella1[[#Totals],[Salario_annuo (€)]],"Top","Basso")</calculatedColumnFormula>
    </tableColumn>
    <tableColumn id="15" xr3:uid="{CD4F2415-4F99-42D2-B46C-7BA0945C9959}" name="Anno assunzione" dataDxfId="17" totalsRowDxfId="2">
      <calculatedColumnFormula>YEAR(Tabella1[[#This Row],[Data_Assunzione]])</calculatedColumnFormula>
    </tableColumn>
    <tableColumn id="16" xr3:uid="{C1E5E94A-B4CB-46D0-975A-7D450528391C}" name="Nome Completo" dataDxfId="0" totalsRowDxfId="1">
      <calculatedColumnFormula>Tabella1[[#This Row],[Nome]]&amp;" "&amp;Tabella1[[#This Row],[Cognome]]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3B582-7A0C-441D-92D7-C9B329A55F16}">
  <dimension ref="A1:Q41"/>
  <sheetViews>
    <sheetView showGridLines="0" tabSelected="1" zoomScale="80" zoomScaleNormal="80" workbookViewId="0">
      <selection activeCell="P2" sqref="P2"/>
    </sheetView>
  </sheetViews>
  <sheetFormatPr defaultRowHeight="14.4" x14ac:dyDescent="0.3"/>
  <cols>
    <col min="2" max="2" width="12.109375" bestFit="1" customWidth="1"/>
    <col min="3" max="3" width="13.21875" bestFit="1" customWidth="1"/>
    <col min="4" max="4" width="14.21875" customWidth="1"/>
    <col min="5" max="5" width="11.44140625" customWidth="1"/>
    <col min="6" max="6" width="11.77734375" bestFit="1" customWidth="1"/>
    <col min="7" max="7" width="16.33203125" customWidth="1"/>
    <col min="8" max="8" width="17.21875" style="10" customWidth="1"/>
    <col min="9" max="9" width="17.109375" customWidth="1"/>
    <col min="10" max="10" width="15.109375" customWidth="1"/>
    <col min="11" max="11" width="13.21875" customWidth="1"/>
    <col min="12" max="12" width="16.6640625" style="7" bestFit="1" customWidth="1"/>
    <col min="14" max="14" width="11.33203125" bestFit="1" customWidth="1"/>
    <col min="15" max="15" width="13" bestFit="1" customWidth="1"/>
    <col min="16" max="16" width="12.6640625" bestFit="1" customWidth="1"/>
  </cols>
  <sheetData>
    <row r="1" spans="1:1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8" t="s">
        <v>7</v>
      </c>
      <c r="I1" s="1" t="s">
        <v>8</v>
      </c>
      <c r="J1" s="1" t="s">
        <v>9</v>
      </c>
      <c r="K1" s="1" t="s">
        <v>10</v>
      </c>
      <c r="L1" s="5" t="s">
        <v>57</v>
      </c>
      <c r="M1" s="1" t="s">
        <v>59</v>
      </c>
      <c r="N1" s="1" t="s">
        <v>60</v>
      </c>
      <c r="O1" s="1" t="s">
        <v>66</v>
      </c>
      <c r="P1" s="1" t="s">
        <v>71</v>
      </c>
    </row>
    <row r="2" spans="1:16" x14ac:dyDescent="0.3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>
        <v>2</v>
      </c>
      <c r="H2" s="9">
        <v>32000</v>
      </c>
      <c r="I2" s="3">
        <v>44635</v>
      </c>
      <c r="J2" s="2" t="s">
        <v>16</v>
      </c>
      <c r="K2" s="2" t="s">
        <v>17</v>
      </c>
      <c r="L2" s="6">
        <f>Tabella1[[#This Row],[Salario_annuo (€)]]/12</f>
        <v>2666.6666666666665</v>
      </c>
      <c r="M2" s="2" t="str" cm="1">
        <f t="array" ref="M2">_xlfn.IFS(Tabella1[[#This Row],[Esperienza_anni]]&lt;3,"Junior",Tabella1[[#This Row],[Esperienza_anni]]&lt;6,"Mid",TRUE,"Senior")</f>
        <v>Junior</v>
      </c>
      <c r="N2" s="2" t="str">
        <f>IF(Tabella1[[#This Row],[Salario_annuo (€)]]&gt;Tabella1[[#Totals],[Salario_annuo (€)]],"Top","Basso")</f>
        <v>Basso</v>
      </c>
      <c r="O2" s="2">
        <f>YEAR(Tabella1[[#This Row],[Data_Assunzione]])</f>
        <v>2022</v>
      </c>
      <c r="P2" s="15" t="str">
        <f>Tabella1[[#This Row],[Nome]]&amp;" "&amp;Tabella1[[#This Row],[Cognome]]</f>
        <v>Luca Rossi</v>
      </c>
    </row>
    <row r="3" spans="1:16" x14ac:dyDescent="0.3">
      <c r="A3" s="2">
        <v>2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15</v>
      </c>
      <c r="G3" s="2">
        <v>5</v>
      </c>
      <c r="H3" s="9">
        <v>48000</v>
      </c>
      <c r="I3" s="3">
        <v>44022</v>
      </c>
      <c r="J3" s="2" t="s">
        <v>16</v>
      </c>
      <c r="K3" s="2" t="s">
        <v>22</v>
      </c>
      <c r="L3" s="6">
        <f>Tabella1[[#This Row],[Salario_annuo (€)]]/12</f>
        <v>4000</v>
      </c>
      <c r="M3" s="2" t="str" cm="1">
        <f t="array" ref="M3">_xlfn.IFS(Tabella1[[#This Row],[Esperienza_anni]]&lt;3,"Junior",Tabella1[[#This Row],[Esperienza_anni]]&lt;6,"Mid",TRUE,"Senior")</f>
        <v>Mid</v>
      </c>
      <c r="N3" s="2" t="str">
        <f>IF(Tabella1[[#This Row],[Salario_annuo (€)]]&gt;Tabella1[[#Totals],[Salario_annuo (€)]],"Top","Basso")</f>
        <v>Top</v>
      </c>
      <c r="O3" s="2">
        <f>YEAR(Tabella1[[#This Row],[Data_Assunzione]])</f>
        <v>2020</v>
      </c>
      <c r="P3" s="15" t="str">
        <f>Tabella1[[#This Row],[Nome]]&amp;" "&amp;Tabella1[[#This Row],[Cognome]]</f>
        <v>Anna Bianchi</v>
      </c>
    </row>
    <row r="4" spans="1:16" x14ac:dyDescent="0.3">
      <c r="A4" s="2">
        <v>3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>
        <v>4</v>
      </c>
      <c r="H4" s="9">
        <v>55000</v>
      </c>
      <c r="I4" s="3">
        <v>44217</v>
      </c>
      <c r="J4" s="2" t="s">
        <v>16</v>
      </c>
      <c r="K4" s="2" t="s">
        <v>17</v>
      </c>
      <c r="L4" s="6">
        <f>Tabella1[[#This Row],[Salario_annuo (€)]]/12</f>
        <v>4583.333333333333</v>
      </c>
      <c r="M4" s="2" t="str" cm="1">
        <f t="array" ref="M4">_xlfn.IFS(Tabella1[[#This Row],[Esperienza_anni]]&lt;3,"Junior",Tabella1[[#This Row],[Esperienza_anni]]&lt;6,"Mid",TRUE,"Senior")</f>
        <v>Mid</v>
      </c>
      <c r="N4" s="2" t="str">
        <f>IF(Tabella1[[#This Row],[Salario_annuo (€)]]&gt;Tabella1[[#Totals],[Salario_annuo (€)]],"Top","Basso")</f>
        <v>Top</v>
      </c>
      <c r="O4" s="2">
        <f>YEAR(Tabella1[[#This Row],[Data_Assunzione]])</f>
        <v>2021</v>
      </c>
      <c r="P4" s="15" t="str">
        <f>Tabella1[[#This Row],[Nome]]&amp;" "&amp;Tabella1[[#This Row],[Cognome]]</f>
        <v>Marco Verdi</v>
      </c>
    </row>
    <row r="5" spans="1:16" x14ac:dyDescent="0.3">
      <c r="A5" s="2">
        <v>4</v>
      </c>
      <c r="B5" s="2" t="s">
        <v>28</v>
      </c>
      <c r="C5" s="2" t="s">
        <v>29</v>
      </c>
      <c r="D5" s="2" t="s">
        <v>13</v>
      </c>
      <c r="E5" s="2" t="s">
        <v>30</v>
      </c>
      <c r="F5" s="2" t="s">
        <v>31</v>
      </c>
      <c r="G5" s="2">
        <v>3</v>
      </c>
      <c r="H5" s="9">
        <v>35000</v>
      </c>
      <c r="I5" s="3">
        <v>44469</v>
      </c>
      <c r="J5" s="2" t="s">
        <v>32</v>
      </c>
      <c r="K5" s="2" t="s">
        <v>22</v>
      </c>
      <c r="L5" s="6">
        <f>Tabella1[[#This Row],[Salario_annuo (€)]]/12</f>
        <v>2916.6666666666665</v>
      </c>
      <c r="M5" s="2" t="str" cm="1">
        <f t="array" ref="M5">_xlfn.IFS(Tabella1[[#This Row],[Esperienza_anni]]&lt;3,"Junior",Tabella1[[#This Row],[Esperienza_anni]]&lt;6,"Mid",TRUE,"Senior")</f>
        <v>Mid</v>
      </c>
      <c r="N5" s="2" t="str">
        <f>IF(Tabella1[[#This Row],[Salario_annuo (€)]]&gt;Tabella1[[#Totals],[Salario_annuo (€)]],"Top","Basso")</f>
        <v>Basso</v>
      </c>
      <c r="O5" s="2">
        <f>YEAR(Tabella1[[#This Row],[Data_Assunzione]])</f>
        <v>2021</v>
      </c>
      <c r="P5" s="15" t="str">
        <f>Tabella1[[#This Row],[Nome]]&amp;" "&amp;Tabella1[[#This Row],[Cognome]]</f>
        <v>Sara Neri</v>
      </c>
    </row>
    <row r="6" spans="1:16" x14ac:dyDescent="0.3">
      <c r="A6" s="2">
        <v>5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2">
        <v>6</v>
      </c>
      <c r="H6" s="9">
        <v>65000</v>
      </c>
      <c r="I6" s="3">
        <v>43627</v>
      </c>
      <c r="J6" s="2" t="s">
        <v>16</v>
      </c>
      <c r="K6" s="2" t="s">
        <v>17</v>
      </c>
      <c r="L6" s="6">
        <f>Tabella1[[#This Row],[Salario_annuo (€)]]/12</f>
        <v>5416.666666666667</v>
      </c>
      <c r="M6" s="2" t="str" cm="1">
        <f t="array" ref="M6">_xlfn.IFS(Tabella1[[#This Row],[Esperienza_anni]]&lt;3,"Junior",Tabella1[[#This Row],[Esperienza_anni]]&lt;6,"Mid",TRUE,"Senior")</f>
        <v>Senior</v>
      </c>
      <c r="N6" s="2" t="str">
        <f>IF(Tabella1[[#This Row],[Salario_annuo (€)]]&gt;Tabella1[[#Totals],[Salario_annuo (€)]],"Top","Basso")</f>
        <v>Top</v>
      </c>
      <c r="O6" s="2">
        <f>YEAR(Tabella1[[#This Row],[Data_Assunzione]])</f>
        <v>2019</v>
      </c>
      <c r="P6" s="15" t="str">
        <f>Tabella1[[#This Row],[Nome]]&amp;" "&amp;Tabella1[[#This Row],[Cognome]]</f>
        <v>Paolo Galli</v>
      </c>
    </row>
    <row r="7" spans="1:16" x14ac:dyDescent="0.3">
      <c r="A7" s="2">
        <v>6</v>
      </c>
      <c r="B7" s="2" t="s">
        <v>38</v>
      </c>
      <c r="C7" s="2" t="s">
        <v>39</v>
      </c>
      <c r="D7" s="2" t="s">
        <v>13</v>
      </c>
      <c r="E7" s="2" t="s">
        <v>14</v>
      </c>
      <c r="F7" s="2" t="s">
        <v>15</v>
      </c>
      <c r="G7" s="2">
        <v>1</v>
      </c>
      <c r="H7" s="9">
        <v>28000</v>
      </c>
      <c r="I7" s="3">
        <v>44962</v>
      </c>
      <c r="J7" s="2" t="s">
        <v>40</v>
      </c>
      <c r="K7" s="2" t="s">
        <v>22</v>
      </c>
      <c r="L7" s="6">
        <f>Tabella1[[#This Row],[Salario_annuo (€)]]/12</f>
        <v>2333.3333333333335</v>
      </c>
      <c r="M7" s="2" t="str" cm="1">
        <f t="array" ref="M7">_xlfn.IFS(Tabella1[[#This Row],[Esperienza_anni]]&lt;3,"Junior",Tabella1[[#This Row],[Esperienza_anni]]&lt;6,"Mid",TRUE,"Senior")</f>
        <v>Junior</v>
      </c>
      <c r="N7" s="2" t="str">
        <f>IF(Tabella1[[#This Row],[Salario_annuo (€)]]&gt;Tabella1[[#Totals],[Salario_annuo (€)]],"Top","Basso")</f>
        <v>Basso</v>
      </c>
      <c r="O7" s="2">
        <f>YEAR(Tabella1[[#This Row],[Data_Assunzione]])</f>
        <v>2023</v>
      </c>
      <c r="P7" s="15" t="str">
        <f>Tabella1[[#This Row],[Nome]]&amp;" "&amp;Tabella1[[#This Row],[Cognome]]</f>
        <v>Giulia Costa</v>
      </c>
    </row>
    <row r="8" spans="1:16" x14ac:dyDescent="0.3">
      <c r="A8" s="2">
        <v>7</v>
      </c>
      <c r="B8" s="2" t="s">
        <v>41</v>
      </c>
      <c r="C8" s="2" t="s">
        <v>42</v>
      </c>
      <c r="D8" s="2" t="s">
        <v>20</v>
      </c>
      <c r="E8" s="2" t="s">
        <v>43</v>
      </c>
      <c r="F8" s="2" t="s">
        <v>44</v>
      </c>
      <c r="G8" s="2">
        <v>7</v>
      </c>
      <c r="H8" s="9">
        <v>70000</v>
      </c>
      <c r="I8" s="3">
        <v>43422</v>
      </c>
      <c r="J8" s="2" t="s">
        <v>16</v>
      </c>
      <c r="K8" s="2" t="s">
        <v>17</v>
      </c>
      <c r="L8" s="6">
        <f>Tabella1[[#This Row],[Salario_annuo (€)]]/12</f>
        <v>5833.333333333333</v>
      </c>
      <c r="M8" s="2" t="str" cm="1">
        <f t="array" ref="M8">_xlfn.IFS(Tabella1[[#This Row],[Esperienza_anni]]&lt;3,"Junior",Tabella1[[#This Row],[Esperienza_anni]]&lt;6,"Mid",TRUE,"Senior")</f>
        <v>Senior</v>
      </c>
      <c r="N8" s="2" t="str">
        <f>IF(Tabella1[[#This Row],[Salario_annuo (€)]]&gt;Tabella1[[#Totals],[Salario_annuo (€)]],"Top","Basso")</f>
        <v>Top</v>
      </c>
      <c r="O8" s="2">
        <f>YEAR(Tabella1[[#This Row],[Data_Assunzione]])</f>
        <v>2018</v>
      </c>
      <c r="P8" s="15" t="str">
        <f>Tabella1[[#This Row],[Nome]]&amp;" "&amp;Tabella1[[#This Row],[Cognome]]</f>
        <v>Davide Conti</v>
      </c>
    </row>
    <row r="9" spans="1:16" x14ac:dyDescent="0.3">
      <c r="A9" s="2">
        <v>8</v>
      </c>
      <c r="B9" s="2" t="s">
        <v>45</v>
      </c>
      <c r="C9" s="2" t="s">
        <v>46</v>
      </c>
      <c r="D9" s="2" t="s">
        <v>25</v>
      </c>
      <c r="E9" s="2" t="s">
        <v>47</v>
      </c>
      <c r="F9" s="2" t="s">
        <v>48</v>
      </c>
      <c r="G9" s="2">
        <v>4</v>
      </c>
      <c r="H9" s="9">
        <v>52000</v>
      </c>
      <c r="I9" s="3">
        <v>44295</v>
      </c>
      <c r="J9" s="2" t="s">
        <v>16</v>
      </c>
      <c r="K9" s="2" t="s">
        <v>17</v>
      </c>
      <c r="L9" s="6">
        <f>Tabella1[[#This Row],[Salario_annuo (€)]]/12</f>
        <v>4333.333333333333</v>
      </c>
      <c r="M9" s="2" t="str" cm="1">
        <f t="array" ref="M9">_xlfn.IFS(Tabella1[[#This Row],[Esperienza_anni]]&lt;3,"Junior",Tabella1[[#This Row],[Esperienza_anni]]&lt;6,"Mid",TRUE,"Senior")</f>
        <v>Mid</v>
      </c>
      <c r="N9" s="2" t="str">
        <f>IF(Tabella1[[#This Row],[Salario_annuo (€)]]&gt;Tabella1[[#Totals],[Salario_annuo (€)]],"Top","Basso")</f>
        <v>Top</v>
      </c>
      <c r="O9" s="2">
        <f>YEAR(Tabella1[[#This Row],[Data_Assunzione]])</f>
        <v>2021</v>
      </c>
      <c r="P9" s="15" t="str">
        <f>Tabella1[[#This Row],[Nome]]&amp;" "&amp;Tabella1[[#This Row],[Cognome]]</f>
        <v>Elena Ferri</v>
      </c>
    </row>
    <row r="10" spans="1:16" x14ac:dyDescent="0.3">
      <c r="A10" s="2">
        <v>9</v>
      </c>
      <c r="B10" s="2" t="s">
        <v>49</v>
      </c>
      <c r="C10" s="2" t="s">
        <v>50</v>
      </c>
      <c r="D10" s="2" t="s">
        <v>13</v>
      </c>
      <c r="E10" s="2" t="s">
        <v>21</v>
      </c>
      <c r="F10" s="2" t="s">
        <v>15</v>
      </c>
      <c r="G10" s="2">
        <v>2</v>
      </c>
      <c r="H10" s="9">
        <v>31000</v>
      </c>
      <c r="I10" s="3">
        <v>44787</v>
      </c>
      <c r="J10" s="2" t="s">
        <v>16</v>
      </c>
      <c r="K10" s="2" t="s">
        <v>22</v>
      </c>
      <c r="L10" s="6">
        <f>Tabella1[[#This Row],[Salario_annuo (€)]]/12</f>
        <v>2583.3333333333335</v>
      </c>
      <c r="M10" s="2" t="str" cm="1">
        <f t="array" ref="M10">_xlfn.IFS(Tabella1[[#This Row],[Esperienza_anni]]&lt;3,"Junior",Tabella1[[#This Row],[Esperienza_anni]]&lt;6,"Mid",TRUE,"Senior")</f>
        <v>Junior</v>
      </c>
      <c r="N10" s="2" t="str">
        <f>IF(Tabella1[[#This Row],[Salario_annuo (€)]]&gt;Tabella1[[#Totals],[Salario_annuo (€)]],"Top","Basso")</f>
        <v>Basso</v>
      </c>
      <c r="O10" s="2">
        <f>YEAR(Tabella1[[#This Row],[Data_Assunzione]])</f>
        <v>2022</v>
      </c>
      <c r="P10" s="15" t="str">
        <f>Tabella1[[#This Row],[Nome]]&amp;" "&amp;Tabella1[[#This Row],[Cognome]]</f>
        <v>Fabio Romano</v>
      </c>
    </row>
    <row r="11" spans="1:16" x14ac:dyDescent="0.3">
      <c r="A11" s="2">
        <v>10</v>
      </c>
      <c r="B11" s="2" t="s">
        <v>51</v>
      </c>
      <c r="C11" s="2" t="s">
        <v>52</v>
      </c>
      <c r="D11" s="2" t="s">
        <v>35</v>
      </c>
      <c r="E11" s="2" t="s">
        <v>26</v>
      </c>
      <c r="F11" s="2" t="s">
        <v>27</v>
      </c>
      <c r="G11" s="2">
        <v>5</v>
      </c>
      <c r="H11" s="9">
        <v>60000</v>
      </c>
      <c r="I11" s="3">
        <v>44167</v>
      </c>
      <c r="J11" s="2" t="s">
        <v>16</v>
      </c>
      <c r="K11" s="2" t="s">
        <v>17</v>
      </c>
      <c r="L11" s="6">
        <f>Tabella1[[#This Row],[Salario_annuo (€)]]/12</f>
        <v>5000</v>
      </c>
      <c r="M11" s="2" t="str" cm="1">
        <f t="array" ref="M11">_xlfn.IFS(Tabella1[[#This Row],[Esperienza_anni]]&lt;3,"Junior",Tabella1[[#This Row],[Esperienza_anni]]&lt;6,"Mid",TRUE,"Senior")</f>
        <v>Mid</v>
      </c>
      <c r="N11" s="2" t="str">
        <f>IF(Tabella1[[#This Row],[Salario_annuo (€)]]&gt;Tabella1[[#Totals],[Salario_annuo (€)]],"Top","Basso")</f>
        <v>Top</v>
      </c>
      <c r="O11" s="2">
        <f>YEAR(Tabella1[[#This Row],[Data_Assunzione]])</f>
        <v>2020</v>
      </c>
      <c r="P11" s="15" t="str">
        <f>Tabella1[[#This Row],[Nome]]&amp;" "&amp;Tabella1[[#This Row],[Cognome]]</f>
        <v>Marta Greco</v>
      </c>
    </row>
    <row r="12" spans="1:16" x14ac:dyDescent="0.3">
      <c r="A12" s="2">
        <v>11</v>
      </c>
      <c r="B12" s="2" t="s">
        <v>53</v>
      </c>
      <c r="C12" s="2" t="s">
        <v>54</v>
      </c>
      <c r="D12" s="2" t="s">
        <v>20</v>
      </c>
      <c r="E12" s="2" t="s">
        <v>14</v>
      </c>
      <c r="F12" s="2" t="s">
        <v>15</v>
      </c>
      <c r="G12" s="2">
        <v>3</v>
      </c>
      <c r="H12" s="9">
        <v>45000</v>
      </c>
      <c r="I12" s="3">
        <v>44341</v>
      </c>
      <c r="J12" s="2" t="s">
        <v>16</v>
      </c>
      <c r="K12" s="2" t="s">
        <v>22</v>
      </c>
      <c r="L12" s="6">
        <f>Tabella1[[#This Row],[Salario_annuo (€)]]/12</f>
        <v>3750</v>
      </c>
      <c r="M12" s="2" t="str" cm="1">
        <f t="array" ref="M12">_xlfn.IFS(Tabella1[[#This Row],[Esperienza_anni]]&lt;3,"Junior",Tabella1[[#This Row],[Esperienza_anni]]&lt;6,"Mid",TRUE,"Senior")</f>
        <v>Mid</v>
      </c>
      <c r="N12" s="2" t="str">
        <f>IF(Tabella1[[#This Row],[Salario_annuo (€)]]&gt;Tabella1[[#Totals],[Salario_annuo (€)]],"Top","Basso")</f>
        <v>Basso</v>
      </c>
      <c r="O12" s="2">
        <f>YEAR(Tabella1[[#This Row],[Data_Assunzione]])</f>
        <v>2021</v>
      </c>
      <c r="P12" s="15" t="str">
        <f>Tabella1[[#This Row],[Nome]]&amp;" "&amp;Tabella1[[#This Row],[Cognome]]</f>
        <v>Simone Ricci</v>
      </c>
    </row>
    <row r="13" spans="1:16" x14ac:dyDescent="0.3">
      <c r="A13" s="2">
        <v>12</v>
      </c>
      <c r="B13" s="2" t="s">
        <v>55</v>
      </c>
      <c r="C13" s="2" t="s">
        <v>56</v>
      </c>
      <c r="D13" s="2" t="s">
        <v>13</v>
      </c>
      <c r="E13" s="2" t="s">
        <v>30</v>
      </c>
      <c r="F13" s="2" t="s">
        <v>31</v>
      </c>
      <c r="G13" s="2">
        <v>2</v>
      </c>
      <c r="H13" s="9">
        <v>33000</v>
      </c>
      <c r="I13" s="3">
        <v>44853</v>
      </c>
      <c r="J13" s="2" t="s">
        <v>32</v>
      </c>
      <c r="K13" s="2" t="s">
        <v>17</v>
      </c>
      <c r="L13" s="6">
        <f>Tabella1[[#This Row],[Salario_annuo (€)]]/12</f>
        <v>2750</v>
      </c>
      <c r="M13" s="2" t="str" cm="1">
        <f t="array" ref="M13">_xlfn.IFS(Tabella1[[#This Row],[Esperienza_anni]]&lt;3,"Junior",Tabella1[[#This Row],[Esperienza_anni]]&lt;6,"Mid",TRUE,"Senior")</f>
        <v>Junior</v>
      </c>
      <c r="N13" s="2" t="str">
        <f>IF(Tabella1[[#This Row],[Salario_annuo (€)]]&gt;Tabella1[[#Totals],[Salario_annuo (€)]],"Top","Basso")</f>
        <v>Basso</v>
      </c>
      <c r="O13" s="2">
        <f>YEAR(Tabella1[[#This Row],[Data_Assunzione]])</f>
        <v>2022</v>
      </c>
      <c r="P13" s="15" t="str">
        <f>Tabella1[[#This Row],[Nome]]&amp;" "&amp;Tabella1[[#This Row],[Cognome]]</f>
        <v>Chiara Leone</v>
      </c>
    </row>
    <row r="14" spans="1:16" x14ac:dyDescent="0.3">
      <c r="A14" s="2" t="s">
        <v>58</v>
      </c>
      <c r="B14" s="2"/>
      <c r="C14" s="2"/>
      <c r="D14" s="2"/>
      <c r="E14" s="2"/>
      <c r="F14" s="2"/>
      <c r="G14" s="2"/>
      <c r="H14" s="14">
        <f>SUBTOTAL(101,Tabella1[Salario_annuo (€)])</f>
        <v>46166.666666666664</v>
      </c>
      <c r="I14" s="2"/>
      <c r="J14" s="2"/>
      <c r="K14" s="2"/>
      <c r="L14" s="16">
        <f>SUBTOTAL(109,Tabella1[Salario_mensile])</f>
        <v>46166.666666666664</v>
      </c>
      <c r="M14" s="2"/>
      <c r="N14" s="2"/>
      <c r="O14" s="2"/>
      <c r="P14" s="2"/>
    </row>
    <row r="16" spans="1:16" x14ac:dyDescent="0.3">
      <c r="B16" s="12"/>
      <c r="C16" s="12"/>
    </row>
    <row r="17" spans="1:17" x14ac:dyDescent="0.3">
      <c r="A17" s="12"/>
      <c r="B17" s="12"/>
      <c r="C17" s="13"/>
      <c r="O17" s="11" t="s">
        <v>67</v>
      </c>
      <c r="P17" s="11"/>
      <c r="Q17" s="11"/>
    </row>
    <row r="18" spans="1:17" x14ac:dyDescent="0.3">
      <c r="A18" s="12"/>
      <c r="B18" s="12"/>
      <c r="C18" s="13"/>
      <c r="O18" s="11" t="s">
        <v>68</v>
      </c>
      <c r="P18" s="11">
        <f>COUNTIF(Tabella1[Full_Remote],"SI")</f>
        <v>7</v>
      </c>
      <c r="Q18" s="21">
        <f>P18/P20</f>
        <v>0.58333333333333337</v>
      </c>
    </row>
    <row r="19" spans="1:17" x14ac:dyDescent="0.3">
      <c r="A19" s="12"/>
      <c r="B19" s="12"/>
      <c r="C19" s="13"/>
      <c r="O19" s="11" t="s">
        <v>69</v>
      </c>
      <c r="P19" s="11">
        <f>COUNTIF(Tabella1[Full_Remote],"NO")</f>
        <v>5</v>
      </c>
      <c r="Q19" s="21">
        <f>P19/P20</f>
        <v>0.41666666666666669</v>
      </c>
    </row>
    <row r="20" spans="1:17" x14ac:dyDescent="0.3">
      <c r="A20" s="12"/>
      <c r="B20" s="12"/>
      <c r="C20" s="13"/>
      <c r="O20" s="23" t="s">
        <v>70</v>
      </c>
      <c r="P20" s="22">
        <f>P19+P18</f>
        <v>12</v>
      </c>
    </row>
    <row r="35" spans="2:3" x14ac:dyDescent="0.3">
      <c r="B35" t="str" cm="1">
        <f t="array" ref="B35:B41">_xlfn.UNIQUE(Tabella1[[#Headers],[#Data],[Paese]])</f>
        <v>Paese</v>
      </c>
    </row>
    <row r="36" spans="2:3" x14ac:dyDescent="0.3">
      <c r="B36" t="str">
        <v>Italia</v>
      </c>
      <c r="C36">
        <f>SUMIF(Tabella1[Paese],B36,Tabella1[Salario_annuo (€)])</f>
        <v>184000</v>
      </c>
    </row>
    <row r="37" spans="2:3" x14ac:dyDescent="0.3">
      <c r="B37" t="str">
        <v>Germania</v>
      </c>
      <c r="C37">
        <f>SUMIF(Tabella1[Paese],B37,Tabella1[Salario_annuo (€)])</f>
        <v>115000</v>
      </c>
    </row>
    <row r="38" spans="2:3" x14ac:dyDescent="0.3">
      <c r="B38" t="str">
        <v>Spagna</v>
      </c>
      <c r="C38">
        <f>SUMIF(Tabella1[Paese],B38,Tabella1[Salario_annuo (€)])</f>
        <v>68000</v>
      </c>
    </row>
    <row r="39" spans="2:3" x14ac:dyDescent="0.3">
      <c r="B39" t="str">
        <v>Francia</v>
      </c>
      <c r="C39">
        <f>SUMIF(Tabella1[Paese],B39,Tabella1[Salario_annuo (€)])</f>
        <v>65000</v>
      </c>
    </row>
    <row r="40" spans="2:3" x14ac:dyDescent="0.3">
      <c r="B40" t="str">
        <v>UK</v>
      </c>
      <c r="C40">
        <f>SUMIF(Tabella1[Paese],B40,Tabella1[Salario_annuo (€)])</f>
        <v>70000</v>
      </c>
    </row>
    <row r="41" spans="2:3" x14ac:dyDescent="0.3">
      <c r="B41" t="str">
        <v>Olanda</v>
      </c>
      <c r="C41">
        <f>SUMIF(Tabella1[Paese],B41,Tabella1[Salario_annuo (€)])</f>
        <v>52000</v>
      </c>
    </row>
  </sheetData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0FAE9-C644-4F34-9251-FF06EC9AAC87}">
  <dimension ref="G3:P10"/>
  <sheetViews>
    <sheetView showRowColHeaders="0" workbookViewId="0">
      <selection activeCell="K5" sqref="K5"/>
    </sheetView>
  </sheetViews>
  <sheetFormatPr defaultRowHeight="14.4" x14ac:dyDescent="0.3"/>
  <cols>
    <col min="11" max="11" width="18.109375" bestFit="1" customWidth="1"/>
    <col min="15" max="15" width="22" customWidth="1"/>
  </cols>
  <sheetData>
    <row r="3" spans="7:16" ht="35.4" customHeight="1" thickBot="1" x14ac:dyDescent="0.45">
      <c r="G3" s="17" t="s">
        <v>61</v>
      </c>
      <c r="H3" s="17"/>
      <c r="I3" s="17"/>
      <c r="J3" s="17"/>
      <c r="K3" s="17"/>
      <c r="L3" s="17"/>
      <c r="M3" s="17"/>
      <c r="N3" s="17"/>
      <c r="O3" s="17"/>
      <c r="P3" s="17"/>
    </row>
    <row r="4" spans="7:16" ht="15" thickTop="1" x14ac:dyDescent="0.3"/>
    <row r="5" spans="7:16" ht="21" x14ac:dyDescent="0.4">
      <c r="K5" s="20" t="s">
        <v>25</v>
      </c>
    </row>
    <row r="9" spans="7:16" ht="21.6" thickBot="1" x14ac:dyDescent="0.45">
      <c r="G9" s="18" t="s">
        <v>62</v>
      </c>
      <c r="H9" s="18"/>
      <c r="K9" s="18" t="s">
        <v>63</v>
      </c>
      <c r="L9" s="18"/>
      <c r="O9" s="18" t="s">
        <v>64</v>
      </c>
      <c r="P9" s="18"/>
    </row>
    <row r="10" spans="7:16" ht="18.600000000000001" thickTop="1" x14ac:dyDescent="0.35">
      <c r="G10" s="19">
        <f>media</f>
        <v>53500</v>
      </c>
      <c r="H10" s="19"/>
      <c r="K10" s="19">
        <f>mediana</f>
        <v>53500</v>
      </c>
      <c r="L10" s="19"/>
      <c r="O10" s="19">
        <f>deviazione</f>
        <v>2121.3203435596424</v>
      </c>
      <c r="P10" s="19"/>
    </row>
  </sheetData>
  <sheetProtection sheet="1" objects="1" scenarios="1" selectLockedCells="1"/>
  <mergeCells count="7">
    <mergeCell ref="G3:P3"/>
    <mergeCell ref="G9:H9"/>
    <mergeCell ref="G10:H10"/>
    <mergeCell ref="K9:L9"/>
    <mergeCell ref="K10:L10"/>
    <mergeCell ref="O9:P9"/>
    <mergeCell ref="O10:P10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18CC75-744D-4FEE-8919-F55ED3D3B1AE}">
          <x14:formula1>
            <xm:f>Salario!$B$3:$B$6</xm:f>
          </x14:formula1>
          <xm:sqref>K5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8261B-B6F9-4831-A1F4-AEEDED59E2D9}">
  <dimension ref="B4:F7"/>
  <sheetViews>
    <sheetView workbookViewId="0">
      <selection activeCell="B6" sqref="B6:C6"/>
    </sheetView>
  </sheetViews>
  <sheetFormatPr defaultRowHeight="14.4" x14ac:dyDescent="0.3"/>
  <cols>
    <col min="2" max="2" width="12.109375" bestFit="1" customWidth="1"/>
    <col min="5" max="5" width="12.109375" bestFit="1" customWidth="1"/>
  </cols>
  <sheetData>
    <row r="4" spans="2:6" x14ac:dyDescent="0.3">
      <c r="B4" t="str" cm="1">
        <f t="array" ref="B4:B7">_xlfn.UNIQUE(Tabella1[Ruolo])</f>
        <v>Data Analyst</v>
      </c>
      <c r="C4">
        <f>COUNTIFS(Tabella1[Ruolo],Validazione!B4)</f>
        <v>5</v>
      </c>
      <c r="E4" t="str" cm="1">
        <f t="array" ref="E4:F7">_xlfn._xlws.SORT(B4:C7,2,-1)</f>
        <v>Data Analyst</v>
      </c>
      <c r="F4">
        <v>5</v>
      </c>
    </row>
    <row r="5" spans="2:6" x14ac:dyDescent="0.3">
      <c r="B5" t="str">
        <v>Data Scientist</v>
      </c>
      <c r="C5">
        <f>COUNTIFS(Tabella1[Ruolo],Validazione!B5)</f>
        <v>3</v>
      </c>
      <c r="E5" t="str">
        <v>Data Scientist</v>
      </c>
      <c r="F5">
        <v>3</v>
      </c>
    </row>
    <row r="6" spans="2:6" x14ac:dyDescent="0.3">
      <c r="B6" t="str">
        <v>Data Engineer</v>
      </c>
      <c r="C6">
        <f>COUNTIFS(Tabella1[Ruolo],Validazione!B6)</f>
        <v>2</v>
      </c>
      <c r="E6" t="str">
        <v>Data Engineer</v>
      </c>
      <c r="F6">
        <v>2</v>
      </c>
    </row>
    <row r="7" spans="2:6" x14ac:dyDescent="0.3">
      <c r="B7" t="str">
        <v>ML Engineer</v>
      </c>
      <c r="C7">
        <f>COUNTIFS(Tabella1[Ruolo],Validazione!B7)</f>
        <v>2</v>
      </c>
      <c r="E7" t="str">
        <v>ML Engineer</v>
      </c>
      <c r="F7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FF22-C84C-4AC5-B43F-C440666163D6}">
  <dimension ref="B2:H19"/>
  <sheetViews>
    <sheetView workbookViewId="0">
      <selection activeCell="B3" sqref="B3:C6"/>
    </sheetView>
  </sheetViews>
  <sheetFormatPr defaultRowHeight="14.4" x14ac:dyDescent="0.3"/>
  <cols>
    <col min="2" max="2" width="12.109375" bestFit="1" customWidth="1"/>
    <col min="5" max="5" width="12.109375" bestFit="1" customWidth="1"/>
  </cols>
  <sheetData>
    <row r="2" spans="2:8" x14ac:dyDescent="0.3">
      <c r="B2" t="s">
        <v>62</v>
      </c>
    </row>
    <row r="3" spans="2:8" x14ac:dyDescent="0.3">
      <c r="B3" t="str" cm="1">
        <f t="array" ref="B3:B6">_xlfn.UNIQUE(Tabella1[Ruolo])</f>
        <v>Data Analyst</v>
      </c>
      <c r="C3">
        <f>AVERAGEIF(Tabella1[Ruolo],Salario!B3,Tabella1[Salario_annuo (€)])</f>
        <v>31800</v>
      </c>
      <c r="E3" t="str" cm="1">
        <f t="array" ref="E3:F6">_xlfn._xlws.SORT(B3:C6,2,-1)</f>
        <v>ML Engineer</v>
      </c>
      <c r="F3">
        <v>62500</v>
      </c>
      <c r="H3">
        <f>_xlfn.XLOOKUP(Titolo,Salario!E3:E6,Salario!F3:F6)</f>
        <v>53500</v>
      </c>
    </row>
    <row r="4" spans="2:8" x14ac:dyDescent="0.3">
      <c r="B4" t="str">
        <v>Data Scientist</v>
      </c>
      <c r="C4">
        <f>AVERAGEIF(Tabella1[Ruolo],Salario!B4,Tabella1[Salario_annuo (€)])</f>
        <v>54333.333333333336</v>
      </c>
      <c r="E4" t="str">
        <v>Data Scientist</v>
      </c>
      <c r="F4">
        <v>54333.333333333336</v>
      </c>
    </row>
    <row r="5" spans="2:8" x14ac:dyDescent="0.3">
      <c r="B5" t="str">
        <v>Data Engineer</v>
      </c>
      <c r="C5">
        <f>AVERAGEIF(Tabella1[Ruolo],Salario!B5,Tabella1[Salario_annuo (€)])</f>
        <v>53500</v>
      </c>
      <c r="E5" t="str">
        <v>Data Engineer</v>
      </c>
      <c r="F5">
        <v>53500</v>
      </c>
    </row>
    <row r="6" spans="2:8" x14ac:dyDescent="0.3">
      <c r="B6" t="str">
        <v>ML Engineer</v>
      </c>
      <c r="C6">
        <f>AVERAGEIF(Tabella1[Ruolo],Salario!B6,Tabella1[Salario_annuo (€)])</f>
        <v>62500</v>
      </c>
      <c r="E6" t="str">
        <v>Data Analyst</v>
      </c>
      <c r="F6">
        <v>31800</v>
      </c>
    </row>
    <row r="9" spans="2:8" x14ac:dyDescent="0.3">
      <c r="B9" t="s">
        <v>63</v>
      </c>
    </row>
    <row r="10" spans="2:8" x14ac:dyDescent="0.3">
      <c r="B10" t="str" cm="1">
        <f t="array" ref="B10:B13">_xlfn.ANCHORARRAY(B3)</f>
        <v>Data Analyst</v>
      </c>
      <c r="C10" cm="1">
        <f t="array" ref="C10">MEDIAN(IF((Tabella1[Ruolo]=Salario!B10)*(Tabella1[Salario_annuo (€)]&lt;&gt;0),Tabella1[Salario_annuo (€)]))</f>
        <v>32000</v>
      </c>
      <c r="E10" cm="1">
        <f t="array" ref="E10">_xlfn.XLOOKUP(Titolo,_xlfn.ANCHORARRAY(B10),C10:C13)</f>
        <v>53500</v>
      </c>
    </row>
    <row r="11" spans="2:8" x14ac:dyDescent="0.3">
      <c r="B11" t="str">
        <v>Data Scientist</v>
      </c>
      <c r="C11" cm="1">
        <f t="array" ref="C11">MEDIAN(IF((Tabella1[Ruolo]=Salario!B11)*(Tabella1[Salario_annuo (€)]&lt;&gt;0),Tabella1[Salario_annuo (€)]))</f>
        <v>48000</v>
      </c>
    </row>
    <row r="12" spans="2:8" x14ac:dyDescent="0.3">
      <c r="B12" t="str">
        <v>Data Engineer</v>
      </c>
      <c r="C12" cm="1">
        <f t="array" ref="C12">MEDIAN(IF((Tabella1[Ruolo]=Salario!B12)*(Tabella1[Salario_annuo (€)]&lt;&gt;0),Tabella1[Salario_annuo (€)]))</f>
        <v>53500</v>
      </c>
    </row>
    <row r="13" spans="2:8" x14ac:dyDescent="0.3">
      <c r="B13" t="str">
        <v>ML Engineer</v>
      </c>
      <c r="C13" cm="1">
        <f t="array" ref="C13">MEDIAN(IF((Tabella1[Ruolo]=Salario!B13)*(Tabella1[Salario_annuo (€)]&lt;&gt;0),Tabella1[Salario_annuo (€)]))</f>
        <v>62500</v>
      </c>
    </row>
    <row r="15" spans="2:8" x14ac:dyDescent="0.3">
      <c r="B15" t="s">
        <v>65</v>
      </c>
    </row>
    <row r="16" spans="2:8" x14ac:dyDescent="0.3">
      <c r="B16" t="str" cm="1">
        <f t="array" ref="B16:B19">_xlfn.ANCHORARRAY(B10)</f>
        <v>Data Analyst</v>
      </c>
      <c r="C16" cm="1">
        <f t="array" ref="C16">_xlfn.STDEV.S(IF((Tabella1[Ruolo]=Salario!B16)*(Tabella1[Salario_annuo (€)]&lt;&gt;0),Tabella1[Salario_annuo (€)]))</f>
        <v>2588.435821108957</v>
      </c>
      <c r="E16" s="4" cm="1">
        <f t="array" ref="E16">_xlfn.XLOOKUP(Titolo,_xlfn.ANCHORARRAY(B16),C16:C19)</f>
        <v>2121.3203435596424</v>
      </c>
    </row>
    <row r="17" spans="2:3" x14ac:dyDescent="0.3">
      <c r="B17" t="str">
        <v>Data Scientist</v>
      </c>
      <c r="C17" cm="1">
        <f t="array" ref="C17">_xlfn.STDEV.S(IF((Tabella1[Ruolo]=Salario!B17)*(Tabella1[Salario_annuo (€)]&lt;&gt;0),Tabella1[Salario_annuo (€)]))</f>
        <v>13650.396819628835</v>
      </c>
    </row>
    <row r="18" spans="2:3" x14ac:dyDescent="0.3">
      <c r="B18" t="str">
        <v>Data Engineer</v>
      </c>
      <c r="C18" cm="1">
        <f t="array" ref="C18">_xlfn.STDEV.S(IF((Tabella1[Ruolo]=Salario!B18)*(Tabella1[Salario_annuo (€)]&lt;&gt;0),Tabella1[Salario_annuo (€)]))</f>
        <v>2121.3203435596424</v>
      </c>
    </row>
    <row r="19" spans="2:3" x14ac:dyDescent="0.3">
      <c r="B19" t="str">
        <v>ML Engineer</v>
      </c>
      <c r="C19" cm="1">
        <f t="array" ref="C19">_xlfn.STDEV.S(IF((Tabella1[Ruolo]=Salario!B19)*(Tabella1[Salario_annuo (€)]&lt;&gt;0),Tabella1[Salario_annuo (€)]))</f>
        <v>3535.5339059327375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5</vt:i4>
      </vt:variant>
    </vt:vector>
  </HeadingPairs>
  <TitlesOfParts>
    <vt:vector size="9" baseType="lpstr">
      <vt:lpstr>Dataset</vt:lpstr>
      <vt:lpstr>Calcolatore</vt:lpstr>
      <vt:lpstr>Validazione</vt:lpstr>
      <vt:lpstr>Salario</vt:lpstr>
      <vt:lpstr>deviazione</vt:lpstr>
      <vt:lpstr>media</vt:lpstr>
      <vt:lpstr>media_salario</vt:lpstr>
      <vt:lpstr>mediana</vt:lpstr>
      <vt:lpstr>Titolo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Izzi</dc:creator>
  <cp:lastModifiedBy>Riccardo Izzi</cp:lastModifiedBy>
  <dcterms:created xsi:type="dcterms:W3CDTF">2026-04-17T07:56:47Z</dcterms:created>
  <dcterms:modified xsi:type="dcterms:W3CDTF">2026-04-17T14:31:28Z</dcterms:modified>
</cp:coreProperties>
</file>