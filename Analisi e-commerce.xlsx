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fbaa0ee462193b/Desktop/Esercitazioni Excel/"/>
    </mc:Choice>
  </mc:AlternateContent>
  <xr:revisionPtr revIDLastSave="153" documentId="8_{0DCD15E3-CD1C-42BD-A206-AB9DA91710CF}" xr6:coauthVersionLast="47" xr6:coauthVersionMax="47" xr10:uidLastSave="{4C4C35E3-47E9-4894-9343-9855AA9E475E}"/>
  <bookViews>
    <workbookView xWindow="-108" yWindow="-108" windowWidth="23256" windowHeight="12456" xr2:uid="{C155597E-EDCA-40EC-B982-E710F5D94823}"/>
  </bookViews>
  <sheets>
    <sheet name="Ordini" sheetId="1" r:id="rId1"/>
    <sheet name="Soglie" sheetId="3" r:id="rId2"/>
    <sheet name="Client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34" i="1"/>
  <c r="E35" i="1"/>
  <c r="E36" i="1"/>
  <c r="E37" i="1"/>
  <c r="E38" i="1"/>
  <c r="E39" i="1"/>
  <c r="E40" i="1"/>
  <c r="E41" i="1"/>
  <c r="E32" i="1"/>
  <c r="B32" i="1"/>
  <c r="D32" i="1" s="1" a="1"/>
  <c r="D32" i="1" s="1"/>
  <c r="A32" i="1" a="1"/>
  <c r="A32" i="1" s="1"/>
  <c r="B33" i="1"/>
  <c r="B34" i="1"/>
  <c r="B35" i="1"/>
  <c r="B36" i="1"/>
  <c r="B37" i="1"/>
  <c r="B38" i="1"/>
  <c r="B39" i="1"/>
  <c r="B40" i="1"/>
  <c r="B41" i="1"/>
  <c r="B26" i="1"/>
  <c r="B27" i="1"/>
  <c r="B28" i="1"/>
  <c r="B29" i="1"/>
  <c r="B25" i="1"/>
  <c r="A25" i="1" a="1"/>
  <c r="A25" i="1" s="1"/>
  <c r="B21" i="1"/>
  <c r="B22" i="1"/>
  <c r="B20" i="1"/>
  <c r="A20" i="1" a="1"/>
  <c r="A20" i="1" s="1"/>
  <c r="B18" i="1"/>
  <c r="B17" i="1"/>
  <c r="B16" i="1"/>
  <c r="B15" i="1"/>
  <c r="V2" i="1"/>
  <c r="V3" i="1"/>
  <c r="V4" i="1"/>
  <c r="V5" i="1"/>
  <c r="V6" i="1"/>
  <c r="V7" i="1"/>
  <c r="V8" i="1"/>
  <c r="V9" i="1"/>
  <c r="V10" i="1"/>
  <c r="V11" i="1"/>
  <c r="U2" i="1"/>
  <c r="U3" i="1"/>
  <c r="U4" i="1"/>
  <c r="U5" i="1"/>
  <c r="U6" i="1"/>
  <c r="U7" i="1"/>
  <c r="U8" i="1"/>
  <c r="U9" i="1"/>
  <c r="U10" i="1"/>
  <c r="U11" i="1"/>
  <c r="T2" i="1"/>
  <c r="T3" i="1"/>
  <c r="T4" i="1"/>
  <c r="T5" i="1"/>
  <c r="T6" i="1"/>
  <c r="T7" i="1"/>
  <c r="T8" i="1"/>
  <c r="T9" i="1"/>
  <c r="T10" i="1"/>
  <c r="T11" i="1"/>
  <c r="R2" i="1"/>
  <c r="R3" i="1"/>
  <c r="R4" i="1"/>
  <c r="R5" i="1"/>
  <c r="R6" i="1"/>
  <c r="R7" i="1"/>
  <c r="R8" i="1"/>
  <c r="R9" i="1"/>
  <c r="R10" i="1"/>
  <c r="R11" i="1"/>
  <c r="Q2" i="1"/>
  <c r="Q3" i="1"/>
  <c r="Q4" i="1"/>
  <c r="Q5" i="1"/>
  <c r="Q6" i="1"/>
  <c r="Q7" i="1"/>
  <c r="Q8" i="1"/>
  <c r="Q9" i="1"/>
  <c r="Q10" i="1"/>
  <c r="Q11" i="1"/>
  <c r="P2" i="1"/>
  <c r="P3" i="1"/>
  <c r="P4" i="1"/>
  <c r="P5" i="1"/>
  <c r="P6" i="1"/>
  <c r="P7" i="1"/>
  <c r="P8" i="1"/>
  <c r="P9" i="1"/>
  <c r="P10" i="1"/>
  <c r="P11" i="1"/>
  <c r="O2" i="1"/>
  <c r="O3" i="1"/>
  <c r="O4" i="1"/>
  <c r="O5" i="1"/>
  <c r="O6" i="1"/>
  <c r="O7" i="1"/>
  <c r="O8" i="1"/>
  <c r="O9" i="1"/>
  <c r="O10" i="1"/>
  <c r="O11" i="1"/>
  <c r="N2" i="1"/>
  <c r="S2" i="1" s="1"/>
  <c r="N3" i="1"/>
  <c r="S3" i="1" s="1"/>
  <c r="N4" i="1"/>
  <c r="S4" i="1" s="1"/>
  <c r="N5" i="1"/>
  <c r="S5" i="1" s="1"/>
  <c r="N6" i="1"/>
  <c r="S6" i="1" s="1"/>
  <c r="N7" i="1"/>
  <c r="S7" i="1" s="1"/>
  <c r="N8" i="1"/>
  <c r="S8" i="1" s="1"/>
  <c r="N9" i="1"/>
  <c r="S9" i="1" s="1"/>
  <c r="N10" i="1"/>
  <c r="S10" i="1" s="1"/>
  <c r="N11" i="1"/>
  <c r="S11" i="1" s="1"/>
  <c r="M2" i="1"/>
  <c r="M3" i="1"/>
  <c r="M4" i="1"/>
  <c r="M5" i="1"/>
  <c r="M6" i="1"/>
  <c r="M7" i="1"/>
  <c r="M8" i="1"/>
  <c r="M9" i="1"/>
  <c r="M10" i="1"/>
  <c r="M11" i="1"/>
  <c r="L2" i="1"/>
  <c r="L3" i="1"/>
  <c r="L4" i="1"/>
  <c r="L5" i="1"/>
  <c r="L6" i="1"/>
  <c r="L7" i="1"/>
  <c r="L8" i="1"/>
  <c r="L9" i="1"/>
  <c r="L10" i="1"/>
  <c r="L11" i="1"/>
  <c r="K2" i="1"/>
  <c r="K3" i="1"/>
  <c r="K4" i="1"/>
  <c r="K5" i="1"/>
  <c r="K6" i="1"/>
  <c r="K7" i="1"/>
  <c r="K8" i="1"/>
  <c r="K9" i="1"/>
  <c r="K10" i="1"/>
  <c r="K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<sst xmlns="http://schemas.openxmlformats.org/spreadsheetml/2006/main" count="117" uniqueCount="75">
  <si>
    <t>OrderID</t>
  </si>
  <si>
    <t>Data Ordine</t>
  </si>
  <si>
    <t>Nome Cliente</t>
  </si>
  <si>
    <t>Email</t>
  </si>
  <si>
    <t>Paese</t>
  </si>
  <si>
    <t>Categoria</t>
  </si>
  <si>
    <t>Prodotto</t>
  </si>
  <si>
    <t>Quantità</t>
  </si>
  <si>
    <t>Prezzo Unitario</t>
  </si>
  <si>
    <t>Stato Ordine</t>
  </si>
  <si>
    <t>Mario Rossi</t>
  </si>
  <si>
    <t>mario.rossi@gmail.com</t>
  </si>
  <si>
    <t>Italia</t>
  </si>
  <si>
    <t>Tech</t>
  </si>
  <si>
    <t>Mouse</t>
  </si>
  <si>
    <t>Completato</t>
  </si>
  <si>
    <t>Luca Bianchi</t>
  </si>
  <si>
    <t>luca.bianchi@yahoo.com</t>
  </si>
  <si>
    <t>Tastiera</t>
  </si>
  <si>
    <t>Reso</t>
  </si>
  <si>
    <t>John Smith</t>
  </si>
  <si>
    <t>john.smith@gmail.com</t>
  </si>
  <si>
    <t>USA</t>
  </si>
  <si>
    <t>Fashion</t>
  </si>
  <si>
    <t>T-shirt</t>
  </si>
  <si>
    <t>Anna Verdi</t>
  </si>
  <si>
    <t>anna.verdi@gmail.com</t>
  </si>
  <si>
    <t>Beauty</t>
  </si>
  <si>
    <t>Crema</t>
  </si>
  <si>
    <t>Maria Garcia</t>
  </si>
  <si>
    <t>maria.garcia@gmail.com</t>
  </si>
  <si>
    <t>Spagna</t>
  </si>
  <si>
    <t>Cuffie</t>
  </si>
  <si>
    <t>Paul Brown</t>
  </si>
  <si>
    <t>paul.brown@yahoo.com</t>
  </si>
  <si>
    <t>UK</t>
  </si>
  <si>
    <t>Jeans</t>
  </si>
  <si>
    <t>Non completato</t>
  </si>
  <si>
    <t>Giulia Neri</t>
  </si>
  <si>
    <t>giulia.neri@gmail.com</t>
  </si>
  <si>
    <t>Shampoo</t>
  </si>
  <si>
    <t>David Lee</t>
  </si>
  <si>
    <t>david.lee@gmail.com</t>
  </si>
  <si>
    <t>Monitor</t>
  </si>
  <si>
    <t>Laura Blanc</t>
  </si>
  <si>
    <t>laura.blanc@gmail.com</t>
  </si>
  <si>
    <t>Francia</t>
  </si>
  <si>
    <t>Giacca</t>
  </si>
  <si>
    <t>Marco Costa</t>
  </si>
  <si>
    <t>marco.costa@gmail.com</t>
  </si>
  <si>
    <t>Laptop</t>
  </si>
  <si>
    <t>Data Registrazione</t>
  </si>
  <si>
    <t>Segmento</t>
  </si>
  <si>
    <t>Premium</t>
  </si>
  <si>
    <t>Standard</t>
  </si>
  <si>
    <t>Soglia Sconto</t>
  </si>
  <si>
    <t>ID Cliente univoco</t>
  </si>
  <si>
    <t>Dominio email</t>
  </si>
  <si>
    <t>Flag cliente</t>
  </si>
  <si>
    <t>Flag ordine</t>
  </si>
  <si>
    <t>Anno</t>
  </si>
  <si>
    <t>Mese</t>
  </si>
  <si>
    <t>Giorno della settimana</t>
  </si>
  <si>
    <t>Fatturato Lordo</t>
  </si>
  <si>
    <t>Fatturato valido</t>
  </si>
  <si>
    <t>Data di registrazione</t>
  </si>
  <si>
    <t>Segmento Cliente</t>
  </si>
  <si>
    <t>Anzianità cliente</t>
  </si>
  <si>
    <t>Fatturato totale</t>
  </si>
  <si>
    <t>Fatturato medio</t>
  </si>
  <si>
    <t>Numero ordini completati</t>
  </si>
  <si>
    <t>Percentuale resi</t>
  </si>
  <si>
    <t>Fatturato per categoria</t>
  </si>
  <si>
    <t>Fatturato per paese</t>
  </si>
  <si>
    <t>Fatturato per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</si>
</sst>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0" borderId="0" xfId="0" applyFont="1"/>
    <xf numFmtId="0" fontId="1" fillId="0" borderId="1" xfId="0" applyFont="1" applyBorder="1"/>
  </cellXfs>
  <cellStyles count="2">
    <cellStyle name="Collegamento ipertestuale" xfId="1" builtinId="8"/>
    <cellStyle name="Normale" xfId="0" builtinId="0"/>
  </cellStyles>
  <dxfs count="32"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Fatturato per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Ordini!$B$19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Ordini!$A$20:$A$22</c:f>
              <c:strCache>
                <c:ptCount val="3"/>
                <c:pt idx="0">
                  <c:v>Tech</c:v>
                </c:pt>
                <c:pt idx="1">
                  <c:v>Fashion</c:v>
                </c:pt>
                <c:pt idx="2">
                  <c:v>Beauty</c:v>
                </c:pt>
              </c:strCache>
            </c:strRef>
          </c:cat>
          <c:val>
            <c:numRef>
              <c:f>Ordini!$B$20:$B$22</c:f>
              <c:numCache>
                <c:formatCode>General</c:formatCode>
                <c:ptCount val="3"/>
                <c:pt idx="0">
                  <c:v>1275</c:v>
                </c:pt>
                <c:pt idx="1">
                  <c:v>265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A-4F76-91DD-9E6CCFE91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2490512"/>
        <c:axId val="2082490992"/>
      </c:barChart>
      <c:catAx>
        <c:axId val="208249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2490992"/>
        <c:crosses val="autoZero"/>
        <c:auto val="1"/>
        <c:lblAlgn val="ctr"/>
        <c:lblOffset val="100"/>
        <c:noMultiLvlLbl val="0"/>
      </c:catAx>
      <c:valAx>
        <c:axId val="208249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249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 fatturato per paese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Ordini!$B$24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Ordini!$A$25:$A$29</c:f>
              <c:strCache>
                <c:ptCount val="5"/>
                <c:pt idx="0">
                  <c:v>Italia</c:v>
                </c:pt>
                <c:pt idx="1">
                  <c:v>USA</c:v>
                </c:pt>
                <c:pt idx="2">
                  <c:v>Spagna</c:v>
                </c:pt>
                <c:pt idx="3">
                  <c:v>UK</c:v>
                </c:pt>
                <c:pt idx="4">
                  <c:v>Francia</c:v>
                </c:pt>
              </c:strCache>
            </c:strRef>
          </c:cat>
          <c:val>
            <c:numRef>
              <c:f>Ordini!$B$25:$B$29</c:f>
              <c:numCache>
                <c:formatCode>General</c:formatCode>
                <c:ptCount val="5"/>
                <c:pt idx="0">
                  <c:v>1095</c:v>
                </c:pt>
                <c:pt idx="1">
                  <c:v>245</c:v>
                </c:pt>
                <c:pt idx="2">
                  <c:v>80</c:v>
                </c:pt>
                <c:pt idx="3">
                  <c:v>100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3-42AC-B94B-419B3F2AA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1866304"/>
        <c:axId val="2041895104"/>
      </c:barChart>
      <c:catAx>
        <c:axId val="20418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1895104"/>
        <c:crosses val="autoZero"/>
        <c:auto val="1"/>
        <c:lblAlgn val="ctr"/>
        <c:lblOffset val="100"/>
        <c:noMultiLvlLbl val="0"/>
      </c:catAx>
      <c:valAx>
        <c:axId val="20418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186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957943</xdr:colOff>
      <xdr:row>12</xdr:row>
      <xdr:rowOff>136071</xdr:rowOff>
    </xdr:from>
    <xdr:to>
      <xdr:col>6</xdr:col>
      <xdr:colOff>337458</xdr:colOff>
      <xdr:row>27</xdr:row>
      <xdr:rowOff>103414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AFE16C9-0FA2-3CD0-8273-08250CAF1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217716</xdr:colOff>
      <xdr:row>13</xdr:row>
      <xdr:rowOff>27214</xdr:rowOff>
    </xdr:from>
    <xdr:to>
      <xdr:col>17</xdr:col>
      <xdr:colOff>32658</xdr:colOff>
      <xdr:row>27</xdr:row>
      <xdr:rowOff>179614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23C8A49-22AE-5362-F7E2-C6A107FEC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E40D89-C277-4A39-AA6E-D813A9F6A784}" name="Tabella1" displayName="Tabella1" ref="A1:V11" totalsRowShown="0" headerRowDxfId="31" dataDxfId="30">
  <autoFilter ref="A1:V11" xr:uid="{04E40D89-C277-4A39-AA6E-D813A9F6A784}"/>
  <tableColumns count="22">
    <tableColumn id="1" xr3:uid="{15AB294E-795C-4C90-8ECB-942990CB466C}" name="OrderID" dataDxfId="29"/>
    <tableColumn id="2" xr3:uid="{4E66F570-7948-47EB-A292-63B23FE85BE2}" name="Data Ordine" dataDxfId="28"/>
    <tableColumn id="3" xr3:uid="{2CB866A2-EF96-457D-94CB-230945F16935}" name="Nome Cliente" dataDxfId="27"/>
    <tableColumn id="4" xr3:uid="{1915BBC7-55FE-4E42-B31D-0F6258BB27E7}" name="Email" dataDxfId="26" dataCellStyle="Collegamento ipertestuale"/>
    <tableColumn id="5" xr3:uid="{4ACF3AA8-5E2A-421A-B0F4-BB2F45563B16}" name="Paese" dataDxfId="25"/>
    <tableColumn id="6" xr3:uid="{4C6F14D0-57B7-4B3A-AE44-3A99C1EE9659}" name="Categoria" dataDxfId="24"/>
    <tableColumn id="7" xr3:uid="{A7996B9C-03BE-4820-B05D-CB1596C8DEEF}" name="Prodotto" dataDxfId="23"/>
    <tableColumn id="8" xr3:uid="{31BA45EE-0D8E-4300-9F09-70628E14E826}" name="Quantità" dataDxfId="22"/>
    <tableColumn id="9" xr3:uid="{F5612B6C-E42F-4446-BEBA-E08C599747CB}" name="Prezzo Unitario" dataDxfId="21"/>
    <tableColumn id="10" xr3:uid="{2037AE97-D8C6-4197-82F9-75D5B38C8E7C}" name="Stato Ordine" dataDxfId="20"/>
    <tableColumn id="11" xr3:uid="{DADA6B34-E683-4DCC-9CFA-9B9B96EE6BE5}" name="ID Cliente univoco" dataDxfId="19">
      <calculatedColumnFormula>UPPER(LEFT(Tabella1[[#This Row],[Nome Cliente]],2) &amp; TEXT(Tabella1[[#This Row],[OrderID]],"000"))</calculatedColumnFormula>
    </tableColumn>
    <tableColumn id="12" xr3:uid="{677F2DC9-E198-421C-8460-A9A191943602}" name="Dominio email" dataDxfId="18">
      <calculatedColumnFormula>RIGHT(Tabella1[[#This Row],[Email]], LEN(Tabella1[[#This Row],[Email]])-FIND("@",Tabella1[[#This Row],[Email]]))</calculatedColumnFormula>
    </tableColumn>
    <tableColumn id="13" xr3:uid="{2B157F0D-1657-46DD-A64B-63030CA3DFB5}" name="Flag cliente" dataDxfId="17">
      <calculatedColumnFormula>IF(Tabella1[[#This Row],[Paese]]="Italia","Italiano","Estero")</calculatedColumnFormula>
    </tableColumn>
    <tableColumn id="14" xr3:uid="{7D79FC36-AB09-4AF1-8DED-468E761003A5}" name="Flag ordine" dataDxfId="16">
      <calculatedColumnFormula>IF(Tabella1[[#This Row],[Stato Ordine]]="Completato","Completato","Non completato")</calculatedColumnFormula>
    </tableColumn>
    <tableColumn id="15" xr3:uid="{61572205-80AC-41EB-8A38-27E4FD84778A}" name="Anno" dataDxfId="15">
      <calculatedColumnFormula>YEAR(Tabella1[[#This Row],[Data Ordine]])</calculatedColumnFormula>
    </tableColumn>
    <tableColumn id="16" xr3:uid="{9C6D8EB2-0B09-4B63-AB5D-8B460A30C1AB}" name="Mese" dataDxfId="14">
      <calculatedColumnFormula>MONTH(Tabella1[[#This Row],[Data Ordine]])</calculatedColumnFormula>
    </tableColumn>
    <tableColumn id="17" xr3:uid="{C6D22D87-DD8E-45B1-956B-B84E120392E3}" name="Giorno della settimana" dataDxfId="13">
      <calculatedColumnFormula>TEXT(Tabella1[[#This Row],[Data Ordine]],"gggg")</calculatedColumnFormula>
    </tableColumn>
    <tableColumn id="18" xr3:uid="{EB519C45-2AC4-48D5-AEB1-7D586EFCD146}" name="Fatturato Lordo" dataDxfId="12">
      <calculatedColumnFormula>Tabella1[[#This Row],[Quantità]]*Tabella1[[#This Row],[Prezzo Unitario]]</calculatedColumnFormula>
    </tableColumn>
    <tableColumn id="19" xr3:uid="{5AF501D3-344E-4B19-9232-F4F4F5D37328}" name="Fatturato valido" dataDxfId="11">
      <calculatedColumnFormula>IF(Tabella1[[#This Row],[Flag ordine]]="Completato",Tabella1[[#This Row],[Quantità]]*Tabella1[[#This Row],[Prezzo Unitario]],"/")</calculatedColumnFormula>
    </tableColumn>
    <tableColumn id="20" xr3:uid="{7BE106C2-8FFE-4987-8445-9D8AECE34916}" name="Data di registrazione" dataDxfId="10">
      <calculatedColumnFormula>_xlfn.XLOOKUP(Tabella1[[#This Row],[Nome Cliente]],Tabella2[Nome Cliente],Tabella2[Data Registrazione])</calculatedColumnFormula>
    </tableColumn>
    <tableColumn id="21" xr3:uid="{96EE6C23-02ED-4993-8E4B-5C8C35330DD0}" name="Segmento Cliente" dataDxfId="9">
      <calculatedColumnFormula>_xlfn.XLOOKUP(Tabella1[[#This Row],[Nome Cliente]],Tabella2[Nome Cliente],Tabella2[Segmento])</calculatedColumnFormula>
    </tableColumn>
    <tableColumn id="22" xr3:uid="{6C52B20D-718F-4650-BB5C-C32DC906AFD8}" name="Anzianità cliente" dataDxfId="8">
      <calculatedColumnFormula>_xlfn.DAYS(Tabella1[[#This Row],[Data Ordine]],Tabella1[[#This Row],[Data di registrazione]])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647E5-E4F7-46DB-B4D6-58F6580B7749}" name="Tabella3" displayName="Tabella3" ref="A1:B4" totalsRowShown="0" headerRowDxfId="7" dataDxfId="6">
  <autoFilter ref="A1:B4" xr:uid="{D2E647E5-E4F7-46DB-B4D6-58F6580B7749}"/>
  <tableColumns count="2">
    <tableColumn id="1" xr3:uid="{714620A3-35B9-4637-9546-6ECE44B88753}" name="Categoria" dataDxfId="5"/>
    <tableColumn id="2" xr3:uid="{6EDF77F2-924C-491C-9A39-7D4C6B1C74BF}" name="Soglia Sconto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1FA871-2140-44E1-9A1F-59F127BA6851}" name="Tabella2" displayName="Tabella2" ref="A1:C11" totalsRowShown="0" headerRowDxfId="3">
  <autoFilter ref="A1:C11" xr:uid="{0E1FA871-2140-44E1-9A1F-59F127BA6851}"/>
  <tableColumns count="3">
    <tableColumn id="1" xr3:uid="{99B147E1-709A-4F99-9DC1-A8D813E50425}" name="Nome Cliente" dataDxfId="2"/>
    <tableColumn id="2" xr3:uid="{642C7BC8-1218-41CF-8FE6-A6281AE8273F}" name="Data Registrazione" dataDxfId="1"/>
    <tableColumn id="3" xr3:uid="{DE61E7D7-F657-4894-9840-A50576C493E3}" name="Seg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lee@gmail.com" TargetMode="External"/><Relationship Id="rId3" Type="http://schemas.openxmlformats.org/officeDocument/2006/relationships/hyperlink" Target="mailto:john.smith@gmail.com" TargetMode="External"/><Relationship Id="rId7" Type="http://schemas.openxmlformats.org/officeDocument/2006/relationships/hyperlink" Target="mailto:giulia.neri@gmail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luca.bianchi@yahoo.com" TargetMode="External"/><Relationship Id="rId1" Type="http://schemas.openxmlformats.org/officeDocument/2006/relationships/hyperlink" Target="mailto:mario.rossi@gmail.com" TargetMode="External"/><Relationship Id="rId6" Type="http://schemas.openxmlformats.org/officeDocument/2006/relationships/hyperlink" Target="mailto:paul.brown@yahoo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maria.garcia@gmail.com" TargetMode="External"/><Relationship Id="rId10" Type="http://schemas.openxmlformats.org/officeDocument/2006/relationships/hyperlink" Target="mailto:marco.costa@gmail.com" TargetMode="External"/><Relationship Id="rId4" Type="http://schemas.openxmlformats.org/officeDocument/2006/relationships/hyperlink" Target="mailto:anna.verdi@gmail.com" TargetMode="External"/><Relationship Id="rId9" Type="http://schemas.openxmlformats.org/officeDocument/2006/relationships/hyperlink" Target="mailto:laura.blanc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CCB4-CEA5-4C08-9383-445482531CF5}">
  <dimension ref="A1:V41"/>
  <sheetViews>
    <sheetView tabSelected="1" zoomScale="70" zoomScaleNormal="70" workbookViewId="0">
      <selection activeCell="T23" sqref="T23"/>
    </sheetView>
  </sheetViews>
  <sheetFormatPr defaultRowHeight="14.4" x14ac:dyDescent="0.3"/>
  <cols>
    <col min="1" max="1" width="22.44140625" bestFit="1" customWidth="1"/>
    <col min="2" max="2" width="12.77734375" customWidth="1"/>
    <col min="3" max="3" width="15.33203125" customWidth="1"/>
    <col min="4" max="4" width="22.33203125" bestFit="1" customWidth="1"/>
    <col min="5" max="5" width="22.44140625" bestFit="1" customWidth="1"/>
    <col min="6" max="6" width="15.5546875" bestFit="1" customWidth="1"/>
    <col min="7" max="7" width="14.88671875" bestFit="1" customWidth="1"/>
    <col min="8" max="8" width="14.6640625" bestFit="1" customWidth="1"/>
    <col min="9" max="9" width="20" bestFit="1" customWidth="1"/>
    <col min="10" max="10" width="18" bestFit="1" customWidth="1"/>
    <col min="11" max="11" width="23.33203125" hidden="1" customWidth="1"/>
    <col min="12" max="12" width="19.6640625" hidden="1" customWidth="1"/>
    <col min="13" max="13" width="17.21875" hidden="1" customWidth="1"/>
    <col min="14" max="14" width="16.77734375" bestFit="1" customWidth="1"/>
    <col min="15" max="15" width="11.88671875" hidden="1" customWidth="1"/>
    <col min="16" max="16" width="12.21875" hidden="1" customWidth="1"/>
    <col min="17" max="17" width="17.88671875" hidden="1" customWidth="1"/>
    <col min="20" max="20" width="18.33203125" bestFit="1" customWidth="1"/>
    <col min="21" max="21" width="15.21875" bestFit="1" customWidth="1"/>
    <col min="22" max="22" width="15" bestFit="1" customWidth="1"/>
  </cols>
  <sheetData>
    <row r="1" spans="1:2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</row>
    <row r="2" spans="1:22" x14ac:dyDescent="0.3">
      <c r="A2" s="2">
        <v>1001</v>
      </c>
      <c r="B2" s="3">
        <v>45303</v>
      </c>
      <c r="C2" s="2" t="s">
        <v>10</v>
      </c>
      <c r="D2" s="4" t="s">
        <v>11</v>
      </c>
      <c r="E2" s="2" t="s">
        <v>12</v>
      </c>
      <c r="F2" s="2" t="s">
        <v>13</v>
      </c>
      <c r="G2" s="2" t="s">
        <v>14</v>
      </c>
      <c r="H2" s="2">
        <v>2</v>
      </c>
      <c r="I2" s="2">
        <v>25</v>
      </c>
      <c r="J2" s="2" t="s">
        <v>15</v>
      </c>
      <c r="K2" s="2" t="str">
        <f>UPPER(LEFT(Tabella1[[#This Row],[Nome Cliente]],2) &amp; TEXT(Tabella1[[#This Row],[OrderID]],"000"))</f>
        <v>MA1001</v>
      </c>
      <c r="L2" s="2" t="str">
        <f>RIGHT(Tabella1[[#This Row],[Email]], LEN(Tabella1[[#This Row],[Email]])-FIND("@",Tabella1[[#This Row],[Email]]))</f>
        <v>gmail.com</v>
      </c>
      <c r="M2" s="2" t="str">
        <f>IF(Tabella1[[#This Row],[Paese]]="Italia","Italiano","Estero")</f>
        <v>Italiano</v>
      </c>
      <c r="N2" s="2" t="str">
        <f>IF(Tabella1[[#This Row],[Stato Ordine]]="Completato","Completato","Non completato")</f>
        <v>Completato</v>
      </c>
      <c r="O2" s="2">
        <f>YEAR(Tabella1[[#This Row],[Data Ordine]])</f>
        <v>2024</v>
      </c>
      <c r="P2" s="2">
        <f>MONTH(Tabella1[[#This Row],[Data Ordine]])</f>
        <v>1</v>
      </c>
      <c r="Q2" s="2" t="str">
        <f>TEXT(Tabella1[[#This Row],[Data Ordine]],"gggg")</f>
        <v>venerdì</v>
      </c>
      <c r="R2" s="2">
        <f>Tabella1[[#This Row],[Quantità]]*Tabella1[[#This Row],[Prezzo Unitario]]</f>
        <v>50</v>
      </c>
      <c r="S2" s="2">
        <f>IF(Tabella1[[#This Row],[Flag ordine]]="Completato",Tabella1[[#This Row],[Quantità]]*Tabella1[[#This Row],[Prezzo Unitario]],"/")</f>
        <v>50</v>
      </c>
      <c r="T2" s="3">
        <f>_xlfn.XLOOKUP(Tabella1[[#This Row],[Nome Cliente]],Tabella2[Nome Cliente],Tabella2[Data Registrazione])</f>
        <v>44927</v>
      </c>
      <c r="U2" s="2" t="str">
        <f>_xlfn.XLOOKUP(Tabella1[[#This Row],[Nome Cliente]],Tabella2[Nome Cliente],Tabella2[Segmento])</f>
        <v>Premium</v>
      </c>
      <c r="V2" s="2">
        <f>_xlfn.DAYS(Tabella1[[#This Row],[Data Ordine]],Tabella1[[#This Row],[Data di registrazione]])</f>
        <v>376</v>
      </c>
    </row>
    <row r="3" spans="1:22" x14ac:dyDescent="0.3">
      <c r="A3" s="2">
        <v>1002</v>
      </c>
      <c r="B3" s="3">
        <v>45306</v>
      </c>
      <c r="C3" s="2" t="s">
        <v>16</v>
      </c>
      <c r="D3" s="4" t="s">
        <v>17</v>
      </c>
      <c r="E3" s="2" t="s">
        <v>12</v>
      </c>
      <c r="F3" s="2" t="s">
        <v>13</v>
      </c>
      <c r="G3" s="2" t="s">
        <v>18</v>
      </c>
      <c r="H3" s="2">
        <v>1</v>
      </c>
      <c r="I3" s="2">
        <v>45</v>
      </c>
      <c r="J3" s="2" t="s">
        <v>19</v>
      </c>
      <c r="K3" s="2" t="str">
        <f>UPPER(LEFT(Tabella1[[#This Row],[Nome Cliente]],2) &amp; TEXT(Tabella1[[#This Row],[OrderID]],"000"))</f>
        <v>LU1002</v>
      </c>
      <c r="L3" s="2" t="str">
        <f>RIGHT(Tabella1[[#This Row],[Email]], LEN(Tabella1[[#This Row],[Email]])-FIND("@",Tabella1[[#This Row],[Email]]))</f>
        <v>yahoo.com</v>
      </c>
      <c r="M3" s="2" t="str">
        <f>IF(Tabella1[[#This Row],[Paese]]="Italia","Italiano","Estero")</f>
        <v>Italiano</v>
      </c>
      <c r="N3" s="2" t="str">
        <f>IF(Tabella1[[#This Row],[Stato Ordine]]="Completato","Completato","Non completato")</f>
        <v>Non completato</v>
      </c>
      <c r="O3" s="2">
        <f>YEAR(Tabella1[[#This Row],[Data Ordine]])</f>
        <v>2024</v>
      </c>
      <c r="P3" s="2">
        <f>MONTH(Tabella1[[#This Row],[Data Ordine]])</f>
        <v>1</v>
      </c>
      <c r="Q3" s="2" t="str">
        <f>TEXT(Tabella1[[#This Row],[Data Ordine]],"gggg")</f>
        <v>lunedì</v>
      </c>
      <c r="R3" s="2">
        <f>Tabella1[[#This Row],[Quantità]]*Tabella1[[#This Row],[Prezzo Unitario]]</f>
        <v>45</v>
      </c>
      <c r="S3" s="5" t="str">
        <f>IF(Tabella1[[#This Row],[Flag ordine]]="Completato",Tabella1[[#This Row],[Quantità]]*Tabella1[[#This Row],[Prezzo Unitario]],"/")</f>
        <v>/</v>
      </c>
      <c r="T3" s="3">
        <f>_xlfn.XLOOKUP(Tabella1[[#This Row],[Nome Cliente]],Tabella2[Nome Cliente],Tabella2[Data Registrazione])</f>
        <v>44967</v>
      </c>
      <c r="U3" s="2" t="str">
        <f>_xlfn.XLOOKUP(Tabella1[[#This Row],[Nome Cliente]],Tabella2[Nome Cliente],Tabella2[Segmento])</f>
        <v>Standard</v>
      </c>
      <c r="V3" s="2">
        <f>_xlfn.DAYS(Tabella1[[#This Row],[Data Ordine]],Tabella1[[#This Row],[Data di registrazione]])</f>
        <v>339</v>
      </c>
    </row>
    <row r="4" spans="1:22" x14ac:dyDescent="0.3">
      <c r="A4" s="2">
        <v>1003</v>
      </c>
      <c r="B4" s="3">
        <v>45311</v>
      </c>
      <c r="C4" s="2" t="s">
        <v>20</v>
      </c>
      <c r="D4" s="4" t="s">
        <v>21</v>
      </c>
      <c r="E4" s="2" t="s">
        <v>22</v>
      </c>
      <c r="F4" s="2" t="s">
        <v>23</v>
      </c>
      <c r="G4" s="2" t="s">
        <v>24</v>
      </c>
      <c r="H4" s="2">
        <v>3</v>
      </c>
      <c r="I4" s="2">
        <v>15</v>
      </c>
      <c r="J4" s="2" t="s">
        <v>15</v>
      </c>
      <c r="K4" s="2" t="str">
        <f>UPPER(LEFT(Tabella1[[#This Row],[Nome Cliente]],2) &amp; TEXT(Tabella1[[#This Row],[OrderID]],"000"))</f>
        <v>JO1003</v>
      </c>
      <c r="L4" s="2" t="str">
        <f>RIGHT(Tabella1[[#This Row],[Email]], LEN(Tabella1[[#This Row],[Email]])-FIND("@",Tabella1[[#This Row],[Email]]))</f>
        <v>gmail.com</v>
      </c>
      <c r="M4" s="2" t="str">
        <f>IF(Tabella1[[#This Row],[Paese]]="Italia","Italiano","Estero")</f>
        <v>Estero</v>
      </c>
      <c r="N4" s="2" t="str">
        <f>IF(Tabella1[[#This Row],[Stato Ordine]]="Completato","Completato","Non completato")</f>
        <v>Completato</v>
      </c>
      <c r="O4" s="2">
        <f>YEAR(Tabella1[[#This Row],[Data Ordine]])</f>
        <v>2024</v>
      </c>
      <c r="P4" s="2">
        <f>MONTH(Tabella1[[#This Row],[Data Ordine]])</f>
        <v>1</v>
      </c>
      <c r="Q4" s="2" t="str">
        <f>TEXT(Tabella1[[#This Row],[Data Ordine]],"gggg")</f>
        <v>sabato</v>
      </c>
      <c r="R4" s="2">
        <f>Tabella1[[#This Row],[Quantità]]*Tabella1[[#This Row],[Prezzo Unitario]]</f>
        <v>45</v>
      </c>
      <c r="S4" s="2">
        <f>IF(Tabella1[[#This Row],[Flag ordine]]="Completato",Tabella1[[#This Row],[Quantità]]*Tabella1[[#This Row],[Prezzo Unitario]],"/")</f>
        <v>45</v>
      </c>
      <c r="T4" s="3">
        <f>_xlfn.XLOOKUP(Tabella1[[#This Row],[Nome Cliente]],Tabella2[Nome Cliente],Tabella2[Data Registrazione])</f>
        <v>45000</v>
      </c>
      <c r="U4" s="2" t="str">
        <f>_xlfn.XLOOKUP(Tabella1[[#This Row],[Nome Cliente]],Tabella2[Nome Cliente],Tabella2[Segmento])</f>
        <v>Standard</v>
      </c>
      <c r="V4" s="2">
        <f>_xlfn.DAYS(Tabella1[[#This Row],[Data Ordine]],Tabella1[[#This Row],[Data di registrazione]])</f>
        <v>311</v>
      </c>
    </row>
    <row r="5" spans="1:22" x14ac:dyDescent="0.3">
      <c r="A5" s="2">
        <v>1004</v>
      </c>
      <c r="B5" s="3">
        <v>45327</v>
      </c>
      <c r="C5" s="2" t="s">
        <v>25</v>
      </c>
      <c r="D5" s="4" t="s">
        <v>26</v>
      </c>
      <c r="E5" s="2" t="s">
        <v>12</v>
      </c>
      <c r="F5" s="2" t="s">
        <v>27</v>
      </c>
      <c r="G5" s="2" t="s">
        <v>28</v>
      </c>
      <c r="H5" s="2">
        <v>2</v>
      </c>
      <c r="I5" s="2">
        <v>30</v>
      </c>
      <c r="J5" s="2" t="s">
        <v>15</v>
      </c>
      <c r="K5" s="2" t="str">
        <f>UPPER(LEFT(Tabella1[[#This Row],[Nome Cliente]],2) &amp; TEXT(Tabella1[[#This Row],[OrderID]],"000"))</f>
        <v>AN1004</v>
      </c>
      <c r="L5" s="2" t="str">
        <f>RIGHT(Tabella1[[#This Row],[Email]], LEN(Tabella1[[#This Row],[Email]])-FIND("@",Tabella1[[#This Row],[Email]]))</f>
        <v>gmail.com</v>
      </c>
      <c r="M5" s="2" t="str">
        <f>IF(Tabella1[[#This Row],[Paese]]="Italia","Italiano","Estero")</f>
        <v>Italiano</v>
      </c>
      <c r="N5" s="2" t="str">
        <f>IF(Tabella1[[#This Row],[Stato Ordine]]="Completato","Completato","Non completato")</f>
        <v>Completato</v>
      </c>
      <c r="O5" s="2">
        <f>YEAR(Tabella1[[#This Row],[Data Ordine]])</f>
        <v>2024</v>
      </c>
      <c r="P5" s="2">
        <f>MONTH(Tabella1[[#This Row],[Data Ordine]])</f>
        <v>2</v>
      </c>
      <c r="Q5" s="2" t="str">
        <f>TEXT(Tabella1[[#This Row],[Data Ordine]],"gggg")</f>
        <v>lunedì</v>
      </c>
      <c r="R5" s="2">
        <f>Tabella1[[#This Row],[Quantità]]*Tabella1[[#This Row],[Prezzo Unitario]]</f>
        <v>60</v>
      </c>
      <c r="S5" s="2">
        <f>IF(Tabella1[[#This Row],[Flag ordine]]="Completato",Tabella1[[#This Row],[Quantità]]*Tabella1[[#This Row],[Prezzo Unitario]],"/")</f>
        <v>60</v>
      </c>
      <c r="T5" s="3">
        <f>_xlfn.XLOOKUP(Tabella1[[#This Row],[Nome Cliente]],Tabella2[Nome Cliente],Tabella2[Data Registrazione])</f>
        <v>45036</v>
      </c>
      <c r="U5" s="2" t="str">
        <f>_xlfn.XLOOKUP(Tabella1[[#This Row],[Nome Cliente]],Tabella2[Nome Cliente],Tabella2[Segmento])</f>
        <v>Premium</v>
      </c>
      <c r="V5" s="2">
        <f>_xlfn.DAYS(Tabella1[[#This Row],[Data Ordine]],Tabella1[[#This Row],[Data di registrazione]])</f>
        <v>291</v>
      </c>
    </row>
    <row r="6" spans="1:22" x14ac:dyDescent="0.3">
      <c r="A6" s="2">
        <v>1005</v>
      </c>
      <c r="B6" s="3">
        <v>45333</v>
      </c>
      <c r="C6" s="2" t="s">
        <v>29</v>
      </c>
      <c r="D6" s="4" t="s">
        <v>30</v>
      </c>
      <c r="E6" s="2" t="s">
        <v>31</v>
      </c>
      <c r="F6" s="2" t="s">
        <v>13</v>
      </c>
      <c r="G6" s="2" t="s">
        <v>32</v>
      </c>
      <c r="H6" s="2">
        <v>1</v>
      </c>
      <c r="I6" s="2">
        <v>80</v>
      </c>
      <c r="J6" s="2" t="s">
        <v>15</v>
      </c>
      <c r="K6" s="2" t="str">
        <f>UPPER(LEFT(Tabella1[[#This Row],[Nome Cliente]],2) &amp; TEXT(Tabella1[[#This Row],[OrderID]],"000"))</f>
        <v>MA1005</v>
      </c>
      <c r="L6" s="2" t="str">
        <f>RIGHT(Tabella1[[#This Row],[Email]], LEN(Tabella1[[#This Row],[Email]])-FIND("@",Tabella1[[#This Row],[Email]]))</f>
        <v>gmail.com</v>
      </c>
      <c r="M6" s="2" t="str">
        <f>IF(Tabella1[[#This Row],[Paese]]="Italia","Italiano","Estero")</f>
        <v>Estero</v>
      </c>
      <c r="N6" s="2" t="str">
        <f>IF(Tabella1[[#This Row],[Stato Ordine]]="Completato","Completato","Non completato")</f>
        <v>Completato</v>
      </c>
      <c r="O6" s="2">
        <f>YEAR(Tabella1[[#This Row],[Data Ordine]])</f>
        <v>2024</v>
      </c>
      <c r="P6" s="2">
        <f>MONTH(Tabella1[[#This Row],[Data Ordine]])</f>
        <v>2</v>
      </c>
      <c r="Q6" s="2" t="str">
        <f>TEXT(Tabella1[[#This Row],[Data Ordine]],"gggg")</f>
        <v>domenica</v>
      </c>
      <c r="R6" s="2">
        <f>Tabella1[[#This Row],[Quantità]]*Tabella1[[#This Row],[Prezzo Unitario]]</f>
        <v>80</v>
      </c>
      <c r="S6" s="2">
        <f>IF(Tabella1[[#This Row],[Flag ordine]]="Completato",Tabella1[[#This Row],[Quantità]]*Tabella1[[#This Row],[Prezzo Unitario]],"/")</f>
        <v>80</v>
      </c>
      <c r="T6" s="3">
        <f>_xlfn.XLOOKUP(Tabella1[[#This Row],[Nome Cliente]],Tabella2[Nome Cliente],Tabella2[Data Registrazione])</f>
        <v>45051</v>
      </c>
      <c r="U6" s="2" t="str">
        <f>_xlfn.XLOOKUP(Tabella1[[#This Row],[Nome Cliente]],Tabella2[Nome Cliente],Tabella2[Segmento])</f>
        <v>Standard</v>
      </c>
      <c r="V6" s="2">
        <f>_xlfn.DAYS(Tabella1[[#This Row],[Data Ordine]],Tabella1[[#This Row],[Data di registrazione]])</f>
        <v>282</v>
      </c>
    </row>
    <row r="7" spans="1:22" x14ac:dyDescent="0.3">
      <c r="A7" s="2">
        <v>1006</v>
      </c>
      <c r="B7" s="3">
        <v>45340</v>
      </c>
      <c r="C7" s="2" t="s">
        <v>33</v>
      </c>
      <c r="D7" s="4" t="s">
        <v>34</v>
      </c>
      <c r="E7" s="2" t="s">
        <v>35</v>
      </c>
      <c r="F7" s="2" t="s">
        <v>23</v>
      </c>
      <c r="G7" s="2" t="s">
        <v>36</v>
      </c>
      <c r="H7" s="2">
        <v>2</v>
      </c>
      <c r="I7" s="2">
        <v>50</v>
      </c>
      <c r="J7" s="2" t="s">
        <v>37</v>
      </c>
      <c r="K7" s="2" t="str">
        <f>UPPER(LEFT(Tabella1[[#This Row],[Nome Cliente]],2) &amp; TEXT(Tabella1[[#This Row],[OrderID]],"000"))</f>
        <v>PA1006</v>
      </c>
      <c r="L7" s="2" t="str">
        <f>RIGHT(Tabella1[[#This Row],[Email]], LEN(Tabella1[[#This Row],[Email]])-FIND("@",Tabella1[[#This Row],[Email]]))</f>
        <v>yahoo.com</v>
      </c>
      <c r="M7" s="2" t="str">
        <f>IF(Tabella1[[#This Row],[Paese]]="Italia","Italiano","Estero")</f>
        <v>Estero</v>
      </c>
      <c r="N7" s="2" t="str">
        <f>IF(Tabella1[[#This Row],[Stato Ordine]]="Completato","Completato","Non completato")</f>
        <v>Non completato</v>
      </c>
      <c r="O7" s="2">
        <f>YEAR(Tabella1[[#This Row],[Data Ordine]])</f>
        <v>2024</v>
      </c>
      <c r="P7" s="2">
        <f>MONTH(Tabella1[[#This Row],[Data Ordine]])</f>
        <v>2</v>
      </c>
      <c r="Q7" s="2" t="str">
        <f>TEXT(Tabella1[[#This Row],[Data Ordine]],"gggg")</f>
        <v>domenica</v>
      </c>
      <c r="R7" s="2">
        <f>Tabella1[[#This Row],[Quantità]]*Tabella1[[#This Row],[Prezzo Unitario]]</f>
        <v>100</v>
      </c>
      <c r="S7" s="5" t="str">
        <f>IF(Tabella1[[#This Row],[Flag ordine]]="Completato",Tabella1[[#This Row],[Quantità]]*Tabella1[[#This Row],[Prezzo Unitario]],"/")</f>
        <v>/</v>
      </c>
      <c r="T7" s="3">
        <f>_xlfn.XLOOKUP(Tabella1[[#This Row],[Nome Cliente]],Tabella2[Nome Cliente],Tabella2[Data Registrazione])</f>
        <v>45087</v>
      </c>
      <c r="U7" s="2" t="str">
        <f>_xlfn.XLOOKUP(Tabella1[[#This Row],[Nome Cliente]],Tabella2[Nome Cliente],Tabella2[Segmento])</f>
        <v>Standard</v>
      </c>
      <c r="V7" s="2">
        <f>_xlfn.DAYS(Tabella1[[#This Row],[Data Ordine]],Tabella1[[#This Row],[Data di registrazione]])</f>
        <v>253</v>
      </c>
    </row>
    <row r="8" spans="1:22" x14ac:dyDescent="0.3">
      <c r="A8" s="2">
        <v>1007</v>
      </c>
      <c r="B8" s="3">
        <v>45353</v>
      </c>
      <c r="C8" s="2" t="s">
        <v>38</v>
      </c>
      <c r="D8" s="4" t="s">
        <v>39</v>
      </c>
      <c r="E8" s="2" t="s">
        <v>12</v>
      </c>
      <c r="F8" s="2" t="s">
        <v>27</v>
      </c>
      <c r="G8" s="2" t="s">
        <v>40</v>
      </c>
      <c r="H8" s="2">
        <v>4</v>
      </c>
      <c r="I8" s="2">
        <v>10</v>
      </c>
      <c r="J8" s="2" t="s">
        <v>15</v>
      </c>
      <c r="K8" s="2" t="str">
        <f>UPPER(LEFT(Tabella1[[#This Row],[Nome Cliente]],2) &amp; TEXT(Tabella1[[#This Row],[OrderID]],"000"))</f>
        <v>GI1007</v>
      </c>
      <c r="L8" s="2" t="str">
        <f>RIGHT(Tabella1[[#This Row],[Email]], LEN(Tabella1[[#This Row],[Email]])-FIND("@",Tabella1[[#This Row],[Email]]))</f>
        <v>gmail.com</v>
      </c>
      <c r="M8" s="2" t="str">
        <f>IF(Tabella1[[#This Row],[Paese]]="Italia","Italiano","Estero")</f>
        <v>Italiano</v>
      </c>
      <c r="N8" s="2" t="str">
        <f>IF(Tabella1[[#This Row],[Stato Ordine]]="Completato","Completato","Non completato")</f>
        <v>Completato</v>
      </c>
      <c r="O8" s="2">
        <f>YEAR(Tabella1[[#This Row],[Data Ordine]])</f>
        <v>2024</v>
      </c>
      <c r="P8" s="2">
        <f>MONTH(Tabella1[[#This Row],[Data Ordine]])</f>
        <v>3</v>
      </c>
      <c r="Q8" s="2" t="str">
        <f>TEXT(Tabella1[[#This Row],[Data Ordine]],"gggg")</f>
        <v>sabato</v>
      </c>
      <c r="R8" s="2">
        <f>Tabella1[[#This Row],[Quantità]]*Tabella1[[#This Row],[Prezzo Unitario]]</f>
        <v>40</v>
      </c>
      <c r="S8" s="2">
        <f>IF(Tabella1[[#This Row],[Flag ordine]]="Completato",Tabella1[[#This Row],[Quantità]]*Tabella1[[#This Row],[Prezzo Unitario]],"/")</f>
        <v>40</v>
      </c>
      <c r="T8" s="3">
        <f>_xlfn.XLOOKUP(Tabella1[[#This Row],[Nome Cliente]],Tabella2[Nome Cliente],Tabella2[Data Registrazione])</f>
        <v>45122</v>
      </c>
      <c r="U8" s="2" t="str">
        <f>_xlfn.XLOOKUP(Tabella1[[#This Row],[Nome Cliente]],Tabella2[Nome Cliente],Tabella2[Segmento])</f>
        <v>Premium</v>
      </c>
      <c r="V8" s="2">
        <f>_xlfn.DAYS(Tabella1[[#This Row],[Data Ordine]],Tabella1[[#This Row],[Data di registrazione]])</f>
        <v>231</v>
      </c>
    </row>
    <row r="9" spans="1:22" x14ac:dyDescent="0.3">
      <c r="A9" s="2">
        <v>1008</v>
      </c>
      <c r="B9" s="3">
        <v>45361</v>
      </c>
      <c r="C9" s="2" t="s">
        <v>41</v>
      </c>
      <c r="D9" s="4" t="s">
        <v>42</v>
      </c>
      <c r="E9" s="2" t="s">
        <v>22</v>
      </c>
      <c r="F9" s="2" t="s">
        <v>13</v>
      </c>
      <c r="G9" s="2" t="s">
        <v>43</v>
      </c>
      <c r="H9" s="2">
        <v>1</v>
      </c>
      <c r="I9" s="2">
        <v>200</v>
      </c>
      <c r="J9" s="2" t="s">
        <v>15</v>
      </c>
      <c r="K9" s="2" t="str">
        <f>UPPER(LEFT(Tabella1[[#This Row],[Nome Cliente]],2) &amp; TEXT(Tabella1[[#This Row],[OrderID]],"000"))</f>
        <v>DA1008</v>
      </c>
      <c r="L9" s="2" t="str">
        <f>RIGHT(Tabella1[[#This Row],[Email]], LEN(Tabella1[[#This Row],[Email]])-FIND("@",Tabella1[[#This Row],[Email]]))</f>
        <v>gmail.com</v>
      </c>
      <c r="M9" s="2" t="str">
        <f>IF(Tabella1[[#This Row],[Paese]]="Italia","Italiano","Estero")</f>
        <v>Estero</v>
      </c>
      <c r="N9" s="2" t="str">
        <f>IF(Tabella1[[#This Row],[Stato Ordine]]="Completato","Completato","Non completato")</f>
        <v>Completato</v>
      </c>
      <c r="O9" s="2">
        <f>YEAR(Tabella1[[#This Row],[Data Ordine]])</f>
        <v>2024</v>
      </c>
      <c r="P9" s="2">
        <f>MONTH(Tabella1[[#This Row],[Data Ordine]])</f>
        <v>3</v>
      </c>
      <c r="Q9" s="2" t="str">
        <f>TEXT(Tabella1[[#This Row],[Data Ordine]],"gggg")</f>
        <v>domenica</v>
      </c>
      <c r="R9" s="2">
        <f>Tabella1[[#This Row],[Quantità]]*Tabella1[[#This Row],[Prezzo Unitario]]</f>
        <v>200</v>
      </c>
      <c r="S9" s="2">
        <f>IF(Tabella1[[#This Row],[Flag ordine]]="Completato",Tabella1[[#This Row],[Quantità]]*Tabella1[[#This Row],[Prezzo Unitario]],"/")</f>
        <v>200</v>
      </c>
      <c r="T9" s="3">
        <f>_xlfn.XLOOKUP(Tabella1[[#This Row],[Nome Cliente]],Tabella2[Nome Cliente],Tabella2[Data Registrazione])</f>
        <v>45139</v>
      </c>
      <c r="U9" s="2" t="str">
        <f>_xlfn.XLOOKUP(Tabella1[[#This Row],[Nome Cliente]],Tabella2[Nome Cliente],Tabella2[Segmento])</f>
        <v>Standard</v>
      </c>
      <c r="V9" s="2">
        <f>_xlfn.DAYS(Tabella1[[#This Row],[Data Ordine]],Tabella1[[#This Row],[Data di registrazione]])</f>
        <v>222</v>
      </c>
    </row>
    <row r="10" spans="1:22" x14ac:dyDescent="0.3">
      <c r="A10" s="2">
        <v>1009</v>
      </c>
      <c r="B10" s="3">
        <v>45366</v>
      </c>
      <c r="C10" s="2" t="s">
        <v>44</v>
      </c>
      <c r="D10" s="4" t="s">
        <v>45</v>
      </c>
      <c r="E10" s="2" t="s">
        <v>46</v>
      </c>
      <c r="F10" s="2" t="s">
        <v>23</v>
      </c>
      <c r="G10" s="2" t="s">
        <v>47</v>
      </c>
      <c r="H10" s="2">
        <v>1</v>
      </c>
      <c r="I10" s="2">
        <v>120</v>
      </c>
      <c r="J10" s="2" t="s">
        <v>19</v>
      </c>
      <c r="K10" s="2" t="str">
        <f>UPPER(LEFT(Tabella1[[#This Row],[Nome Cliente]],2) &amp; TEXT(Tabella1[[#This Row],[OrderID]],"000"))</f>
        <v>LA1009</v>
      </c>
      <c r="L10" s="2" t="str">
        <f>RIGHT(Tabella1[[#This Row],[Email]], LEN(Tabella1[[#This Row],[Email]])-FIND("@",Tabella1[[#This Row],[Email]]))</f>
        <v>gmail.com</v>
      </c>
      <c r="M10" s="2" t="str">
        <f>IF(Tabella1[[#This Row],[Paese]]="Italia","Italiano","Estero")</f>
        <v>Estero</v>
      </c>
      <c r="N10" s="2" t="str">
        <f>IF(Tabella1[[#This Row],[Stato Ordine]]="Completato","Completato","Non completato")</f>
        <v>Non completato</v>
      </c>
      <c r="O10" s="2">
        <f>YEAR(Tabella1[[#This Row],[Data Ordine]])</f>
        <v>2024</v>
      </c>
      <c r="P10" s="2">
        <f>MONTH(Tabella1[[#This Row],[Data Ordine]])</f>
        <v>3</v>
      </c>
      <c r="Q10" s="2" t="str">
        <f>TEXT(Tabella1[[#This Row],[Data Ordine]],"gggg")</f>
        <v>venerdì</v>
      </c>
      <c r="R10" s="2">
        <f>Tabella1[[#This Row],[Quantità]]*Tabella1[[#This Row],[Prezzo Unitario]]</f>
        <v>120</v>
      </c>
      <c r="S10" s="5" t="str">
        <f>IF(Tabella1[[#This Row],[Flag ordine]]="Completato",Tabella1[[#This Row],[Quantità]]*Tabella1[[#This Row],[Prezzo Unitario]],"/")</f>
        <v>/</v>
      </c>
      <c r="T10" s="3">
        <f>_xlfn.XLOOKUP(Tabella1[[#This Row],[Nome Cliente]],Tabella2[Nome Cliente],Tabella2[Data Registrazione])</f>
        <v>45181</v>
      </c>
      <c r="U10" s="2" t="str">
        <f>_xlfn.XLOOKUP(Tabella1[[#This Row],[Nome Cliente]],Tabella2[Nome Cliente],Tabella2[Segmento])</f>
        <v>Standard</v>
      </c>
      <c r="V10" s="2">
        <f>_xlfn.DAYS(Tabella1[[#This Row],[Data Ordine]],Tabella1[[#This Row],[Data di registrazione]])</f>
        <v>185</v>
      </c>
    </row>
    <row r="11" spans="1:22" x14ac:dyDescent="0.3">
      <c r="A11" s="2">
        <v>1010</v>
      </c>
      <c r="B11" s="3">
        <v>45371</v>
      </c>
      <c r="C11" s="2" t="s">
        <v>48</v>
      </c>
      <c r="D11" s="4" t="s">
        <v>49</v>
      </c>
      <c r="E11" s="2" t="s">
        <v>12</v>
      </c>
      <c r="F11" s="2" t="s">
        <v>13</v>
      </c>
      <c r="G11" s="2" t="s">
        <v>50</v>
      </c>
      <c r="H11" s="2">
        <v>1</v>
      </c>
      <c r="I11" s="2">
        <v>900</v>
      </c>
      <c r="J11" s="2" t="s">
        <v>15</v>
      </c>
      <c r="K11" s="2" t="str">
        <f>UPPER(LEFT(Tabella1[[#This Row],[Nome Cliente]],2) &amp; TEXT(Tabella1[[#This Row],[OrderID]],"000"))</f>
        <v>MA1010</v>
      </c>
      <c r="L11" s="2" t="str">
        <f>RIGHT(Tabella1[[#This Row],[Email]], LEN(Tabella1[[#This Row],[Email]])-FIND("@",Tabella1[[#This Row],[Email]]))</f>
        <v>gmail.com</v>
      </c>
      <c r="M11" s="2" t="str">
        <f>IF(Tabella1[[#This Row],[Paese]]="Italia","Italiano","Estero")</f>
        <v>Italiano</v>
      </c>
      <c r="N11" s="2" t="str">
        <f>IF(Tabella1[[#This Row],[Stato Ordine]]="Completato","Completato","Non completato")</f>
        <v>Completato</v>
      </c>
      <c r="O11" s="2">
        <f>YEAR(Tabella1[[#This Row],[Data Ordine]])</f>
        <v>2024</v>
      </c>
      <c r="P11" s="2">
        <f>MONTH(Tabella1[[#This Row],[Data Ordine]])</f>
        <v>3</v>
      </c>
      <c r="Q11" s="2" t="str">
        <f>TEXT(Tabella1[[#This Row],[Data Ordine]],"gggg")</f>
        <v>mercoledì</v>
      </c>
      <c r="R11" s="2">
        <f>Tabella1[[#This Row],[Quantità]]*Tabella1[[#This Row],[Prezzo Unitario]]</f>
        <v>900</v>
      </c>
      <c r="S11" s="2">
        <f>IF(Tabella1[[#This Row],[Flag ordine]]="Completato",Tabella1[[#This Row],[Quantità]]*Tabella1[[#This Row],[Prezzo Unitario]],"/")</f>
        <v>900</v>
      </c>
      <c r="T11" s="3">
        <f>_xlfn.XLOOKUP(Tabella1[[#This Row],[Nome Cliente]],Tabella2[Nome Cliente],Tabella2[Data Registrazione])</f>
        <v>45219</v>
      </c>
      <c r="U11" s="2" t="str">
        <f>_xlfn.XLOOKUP(Tabella1[[#This Row],[Nome Cliente]],Tabella2[Nome Cliente],Tabella2[Segmento])</f>
        <v>Premium</v>
      </c>
      <c r="V11" s="2">
        <f>_xlfn.DAYS(Tabella1[[#This Row],[Data Ordine]],Tabella1[[#This Row],[Data di registrazione]])</f>
        <v>152</v>
      </c>
    </row>
    <row r="15" spans="1:22" x14ac:dyDescent="0.3">
      <c r="A15" s="7" t="s">
        <v>68</v>
      </c>
      <c r="B15">
        <f>SUM(Tabella1[Fatturato Lordo])</f>
        <v>1640</v>
      </c>
    </row>
    <row r="16" spans="1:22" x14ac:dyDescent="0.3">
      <c r="A16" s="7" t="s">
        <v>69</v>
      </c>
      <c r="B16">
        <f>AVERAGE(Tabella1[Fatturato Lordo])</f>
        <v>164</v>
      </c>
    </row>
    <row r="17" spans="1:5" x14ac:dyDescent="0.3">
      <c r="A17" s="7" t="s">
        <v>70</v>
      </c>
      <c r="B17">
        <f>COUNTIF(Tabella1[Flag ordine],"Completato")</f>
        <v>7</v>
      </c>
    </row>
    <row r="18" spans="1:5" x14ac:dyDescent="0.3">
      <c r="A18" s="7" t="s">
        <v>71</v>
      </c>
      <c r="B18">
        <f>COUNTIF(Tabella1[Stato Ordine],"Reso")/100</f>
        <v>0.02</v>
      </c>
    </row>
    <row r="19" spans="1:5" x14ac:dyDescent="0.3">
      <c r="A19" s="8" t="s">
        <v>72</v>
      </c>
      <c r="B19" s="6"/>
    </row>
    <row r="20" spans="1:5" x14ac:dyDescent="0.3">
      <c r="A20" s="8" t="str" cm="1">
        <f t="array" ref="A20:A22">_xlfn.UNIQUE(Tabella1[Categoria])</f>
        <v>Tech</v>
      </c>
      <c r="B20" s="6">
        <f>SUMIF(Tabella1[Categoria],A20,Tabella1[Fatturato Lordo])</f>
        <v>1275</v>
      </c>
    </row>
    <row r="21" spans="1:5" x14ac:dyDescent="0.3">
      <c r="A21" s="8" t="str">
        <v>Fashion</v>
      </c>
      <c r="B21" s="6">
        <f>SUMIF(Tabella1[Categoria],A21,Tabella1[Fatturato Lordo])</f>
        <v>265</v>
      </c>
    </row>
    <row r="22" spans="1:5" x14ac:dyDescent="0.3">
      <c r="A22" s="8" t="str">
        <v>Beauty</v>
      </c>
      <c r="B22" s="6">
        <f>SUMIF(Tabella1[Categoria],A22,Tabella1[Fatturato Lordo])</f>
        <v>100</v>
      </c>
    </row>
    <row r="23" spans="1:5" x14ac:dyDescent="0.3">
      <c r="A23" s="7"/>
    </row>
    <row r="24" spans="1:5" x14ac:dyDescent="0.3">
      <c r="A24" s="8" t="s">
        <v>73</v>
      </c>
      <c r="B24" s="6"/>
    </row>
    <row r="25" spans="1:5" x14ac:dyDescent="0.3">
      <c r="A25" s="8" t="str" cm="1">
        <f t="array" ref="A25:A29">_xlfn.UNIQUE(Tabella1[Paese])</f>
        <v>Italia</v>
      </c>
      <c r="B25" s="6">
        <f>SUMIF(Tabella1[Paese],A25,Tabella1[Fatturato Lordo])</f>
        <v>1095</v>
      </c>
    </row>
    <row r="26" spans="1:5" x14ac:dyDescent="0.3">
      <c r="A26" s="8" t="str">
        <v>USA</v>
      </c>
      <c r="B26" s="6">
        <f>SUMIF(Tabella1[Paese],A26,Tabella1[Fatturato Lordo])</f>
        <v>245</v>
      </c>
    </row>
    <row r="27" spans="1:5" x14ac:dyDescent="0.3">
      <c r="A27" s="8" t="str">
        <v>Spagna</v>
      </c>
      <c r="B27" s="6">
        <f>SUMIF(Tabella1[Paese],A27,Tabella1[Fatturato Lordo])</f>
        <v>80</v>
      </c>
    </row>
    <row r="28" spans="1:5" x14ac:dyDescent="0.3">
      <c r="A28" s="8" t="str">
        <v>UK</v>
      </c>
      <c r="B28" s="6">
        <f>SUMIF(Tabella1[Paese],A28,Tabella1[Fatturato Lordo])</f>
        <v>100</v>
      </c>
    </row>
    <row r="29" spans="1:5" x14ac:dyDescent="0.3">
      <c r="A29" s="8" t="str">
        <v>Francia</v>
      </c>
      <c r="B29" s="6">
        <f>SUMIF(Tabella1[Paese],A29,Tabella1[Fatturato Lordo])</f>
        <v>120</v>
      </c>
    </row>
    <row r="30" spans="1:5" x14ac:dyDescent="0.3">
      <c r="A30" s="7"/>
    </row>
    <row r="31" spans="1:5" x14ac:dyDescent="0.3">
      <c r="A31" s="8" t="s">
        <v>74</v>
      </c>
      <c r="B31" s="6"/>
    </row>
    <row r="32" spans="1:5" x14ac:dyDescent="0.3">
      <c r="A32" s="8" t="str" cm="1">
        <f t="array" ref="A32:A41">_xlfn.UNIQUE(Tabella1[Nome Cliente])</f>
        <v>Mario Rossi</v>
      </c>
      <c r="B32" s="6">
        <f>SUMIF(Tabella1[Nome Cliente],A32,Tabella1[Fatturato Lordo])</f>
        <v>50</v>
      </c>
      <c r="D32" s="6" cm="1">
        <f t="array" ref="D32:D41">_xlfn._xlws.SORT(B32:B41)</f>
        <v>40</v>
      </c>
      <c r="E32" s="6" t="str">
        <f>_xlfn.XLOOKUP(D32,Tabella1[Fatturato Lordo],Tabella1[Nome Cliente])</f>
        <v>Giulia Neri</v>
      </c>
    </row>
    <row r="33" spans="1:5" x14ac:dyDescent="0.3">
      <c r="A33" s="8" t="str">
        <v>Luca Bianchi</v>
      </c>
      <c r="B33" s="6">
        <f>SUMIF(Tabella1[Nome Cliente],A33,Tabella1[Fatturato Lordo])</f>
        <v>45</v>
      </c>
      <c r="D33" s="6">
        <v>45</v>
      </c>
      <c r="E33" s="6" t="str">
        <f>_xlfn.XLOOKUP(D33,Tabella1[Fatturato Lordo],Tabella1[Nome Cliente])</f>
        <v>Luca Bianchi</v>
      </c>
    </row>
    <row r="34" spans="1:5" x14ac:dyDescent="0.3">
      <c r="A34" s="8" t="str">
        <v>John Smith</v>
      </c>
      <c r="B34" s="6">
        <f>SUMIF(Tabella1[Nome Cliente],A34,Tabella1[Fatturato Lordo])</f>
        <v>45</v>
      </c>
      <c r="D34" s="6">
        <v>45</v>
      </c>
      <c r="E34" s="6" t="str">
        <f>_xlfn.XLOOKUP(D34,Tabella1[Fatturato Lordo],Tabella1[Nome Cliente])</f>
        <v>Luca Bianchi</v>
      </c>
    </row>
    <row r="35" spans="1:5" x14ac:dyDescent="0.3">
      <c r="A35" s="8" t="str">
        <v>Anna Verdi</v>
      </c>
      <c r="B35" s="6">
        <f>SUMIF(Tabella1[Nome Cliente],A35,Tabella1[Fatturato Lordo])</f>
        <v>60</v>
      </c>
      <c r="D35" s="6">
        <v>50</v>
      </c>
      <c r="E35" s="6" t="str">
        <f>_xlfn.XLOOKUP(D35,Tabella1[Fatturato Lordo],Tabella1[Nome Cliente])</f>
        <v>Mario Rossi</v>
      </c>
    </row>
    <row r="36" spans="1:5" x14ac:dyDescent="0.3">
      <c r="A36" s="8" t="str">
        <v>Maria Garcia</v>
      </c>
      <c r="B36" s="6">
        <f>SUMIF(Tabella1[Nome Cliente],A36,Tabella1[Fatturato Lordo])</f>
        <v>80</v>
      </c>
      <c r="D36" s="6">
        <v>60</v>
      </c>
      <c r="E36" s="6" t="str">
        <f>_xlfn.XLOOKUP(D36,Tabella1[Fatturato Lordo],Tabella1[Nome Cliente])</f>
        <v>Anna Verdi</v>
      </c>
    </row>
    <row r="37" spans="1:5" x14ac:dyDescent="0.3">
      <c r="A37" s="8" t="str">
        <v>Paul Brown</v>
      </c>
      <c r="B37" s="6">
        <f>SUMIF(Tabella1[Nome Cliente],A37,Tabella1[Fatturato Lordo])</f>
        <v>100</v>
      </c>
      <c r="D37" s="6">
        <v>80</v>
      </c>
      <c r="E37" s="6" t="str">
        <f>_xlfn.XLOOKUP(D37,Tabella1[Fatturato Lordo],Tabella1[Nome Cliente])</f>
        <v>Maria Garcia</v>
      </c>
    </row>
    <row r="38" spans="1:5" x14ac:dyDescent="0.3">
      <c r="A38" s="8" t="str">
        <v>Giulia Neri</v>
      </c>
      <c r="B38" s="6">
        <f>SUMIF(Tabella1[Nome Cliente],A38,Tabella1[Fatturato Lordo])</f>
        <v>40</v>
      </c>
      <c r="D38" s="6">
        <v>100</v>
      </c>
      <c r="E38" s="6" t="str">
        <f>_xlfn.XLOOKUP(D38,Tabella1[Fatturato Lordo],Tabella1[Nome Cliente])</f>
        <v>Paul Brown</v>
      </c>
    </row>
    <row r="39" spans="1:5" x14ac:dyDescent="0.3">
      <c r="A39" s="8" t="str">
        <v>David Lee</v>
      </c>
      <c r="B39" s="6">
        <f>SUMIF(Tabella1[Nome Cliente],A39,Tabella1[Fatturato Lordo])</f>
        <v>200</v>
      </c>
      <c r="D39" s="6">
        <v>120</v>
      </c>
      <c r="E39" s="6" t="str">
        <f>_xlfn.XLOOKUP(D39,Tabella1[Fatturato Lordo],Tabella1[Nome Cliente])</f>
        <v>Laura Blanc</v>
      </c>
    </row>
    <row r="40" spans="1:5" x14ac:dyDescent="0.3">
      <c r="A40" s="8" t="str">
        <v>Laura Blanc</v>
      </c>
      <c r="B40" s="6">
        <f>SUMIF(Tabella1[Nome Cliente],A40,Tabella1[Fatturato Lordo])</f>
        <v>120</v>
      </c>
      <c r="D40" s="6">
        <v>200</v>
      </c>
      <c r="E40" s="6" t="str">
        <f>_xlfn.XLOOKUP(D40,Tabella1[Fatturato Lordo],Tabella1[Nome Cliente])</f>
        <v>David Lee</v>
      </c>
    </row>
    <row r="41" spans="1:5" x14ac:dyDescent="0.3">
      <c r="A41" s="8" t="str">
        <v>Marco Costa</v>
      </c>
      <c r="B41" s="6">
        <f>SUMIF(Tabella1[Nome Cliente],A41,Tabella1[Fatturato Lordo])</f>
        <v>900</v>
      </c>
      <c r="D41" s="6">
        <v>900</v>
      </c>
      <c r="E41" s="6" t="str">
        <f>_xlfn.XLOOKUP(D41,Tabella1[Fatturato Lordo],Tabella1[Nome Cliente])</f>
        <v>Marco Costa</v>
      </c>
    </row>
  </sheetData>
  <hyperlinks>
    <hyperlink ref="D2" r:id="rId1" display="mailto:mario.rossi@gmail.com" xr:uid="{B531570F-2009-4618-A97E-61FA9A97BDA2}"/>
    <hyperlink ref="D3" r:id="rId2" display="mailto:luca.bianchi@yahoo.com" xr:uid="{9D923D86-527D-40DC-ADC4-207A1DDFFBE7}"/>
    <hyperlink ref="D4" r:id="rId3" display="mailto:john.smith@gmail.com" xr:uid="{C3F08981-F32A-41B3-BC74-14BD16FF9ABE}"/>
    <hyperlink ref="D5" r:id="rId4" display="mailto:anna.verdi@gmail.com" xr:uid="{43CE2C62-FB55-4948-AF33-39855F53D864}"/>
    <hyperlink ref="D6" r:id="rId5" display="mailto:maria.garcia@gmail.com" xr:uid="{9784F829-65F2-44B4-B87D-C6B668D52CDC}"/>
    <hyperlink ref="D7" r:id="rId6" display="mailto:paul.brown@yahoo.com" xr:uid="{1AC1DC8B-3462-4705-8B3A-AF69A5DAAD73}"/>
    <hyperlink ref="D8" r:id="rId7" display="mailto:giulia.neri@gmail.com" xr:uid="{6A6A8026-547F-4423-ABB9-3CE8A7BCA68C}"/>
    <hyperlink ref="D9" r:id="rId8" display="mailto:david.lee@gmail.com" xr:uid="{FDD9DDEA-E1E1-4623-AB92-EAE983520A33}"/>
    <hyperlink ref="D10" r:id="rId9" display="mailto:laura.blanc@gmail.com" xr:uid="{C6B416A7-48B5-4C19-82C8-AF1EBFDD9BE6}"/>
    <hyperlink ref="D11" r:id="rId10" display="mailto:marco.costa@gmail.com" xr:uid="{24F0D6E6-E520-45C2-9214-4539FD6913D8}"/>
  </hyperlinks>
  <pageMargins left="0.7" right="0.7" top="0.75" bottom="0.75" header="0.3" footer="0.3"/>
  <drawing r:id="rId11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7CC9-2D5D-47B0-A270-5497B9C3E356}">
  <dimension ref="A1:B4"/>
  <sheetViews>
    <sheetView workbookViewId="0">
      <selection activeCell="C12" sqref="C12"/>
    </sheetView>
  </sheetViews>
  <sheetFormatPr defaultRowHeight="14.4" x14ac:dyDescent="0.3"/>
  <cols>
    <col min="1" max="1" width="10.88671875" customWidth="1"/>
    <col min="2" max="2" width="14.109375" customWidth="1"/>
  </cols>
  <sheetData>
    <row r="1" spans="1:2" ht="28.8" x14ac:dyDescent="0.3">
      <c r="A1" s="1" t="s">
        <v>5</v>
      </c>
      <c r="B1" s="1" t="s">
        <v>55</v>
      </c>
    </row>
    <row r="2" spans="1:2" x14ac:dyDescent="0.3">
      <c r="A2" s="2" t="s">
        <v>13</v>
      </c>
      <c r="B2" s="2">
        <v>100</v>
      </c>
    </row>
    <row r="3" spans="1:2" x14ac:dyDescent="0.3">
      <c r="A3" s="2" t="s">
        <v>23</v>
      </c>
      <c r="B3" s="2">
        <v>80</v>
      </c>
    </row>
    <row r="4" spans="1:2" x14ac:dyDescent="0.3">
      <c r="A4" s="2" t="s">
        <v>27</v>
      </c>
      <c r="B4" s="2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1485-28C1-47BC-8EE1-4D6D26FEE070}">
  <dimension ref="A1:C11"/>
  <sheetViews>
    <sheetView workbookViewId="0">
      <selection activeCell="D15" sqref="D15"/>
    </sheetView>
  </sheetViews>
  <sheetFormatPr defaultRowHeight="14.4" x14ac:dyDescent="0.3"/>
  <cols>
    <col min="1" max="1" width="14.21875" customWidth="1"/>
    <col min="2" max="2" width="18.33203125" customWidth="1"/>
    <col min="3" max="3" width="11.21875" customWidth="1"/>
  </cols>
  <sheetData>
    <row r="1" spans="1:3" x14ac:dyDescent="0.3">
      <c r="A1" s="1" t="s">
        <v>2</v>
      </c>
      <c r="B1" s="1" t="s">
        <v>51</v>
      </c>
      <c r="C1" s="1" t="s">
        <v>52</v>
      </c>
    </row>
    <row r="2" spans="1:3" x14ac:dyDescent="0.3">
      <c r="A2" s="2" t="s">
        <v>10</v>
      </c>
      <c r="B2" s="3">
        <v>44927</v>
      </c>
      <c r="C2" s="2" t="s">
        <v>53</v>
      </c>
    </row>
    <row r="3" spans="1:3" x14ac:dyDescent="0.3">
      <c r="A3" s="2" t="s">
        <v>16</v>
      </c>
      <c r="B3" s="3">
        <v>44967</v>
      </c>
      <c r="C3" s="2" t="s">
        <v>54</v>
      </c>
    </row>
    <row r="4" spans="1:3" x14ac:dyDescent="0.3">
      <c r="A4" s="2" t="s">
        <v>20</v>
      </c>
      <c r="B4" s="3">
        <v>45000</v>
      </c>
      <c r="C4" s="2" t="s">
        <v>54</v>
      </c>
    </row>
    <row r="5" spans="1:3" x14ac:dyDescent="0.3">
      <c r="A5" s="2" t="s">
        <v>25</v>
      </c>
      <c r="B5" s="3">
        <v>45036</v>
      </c>
      <c r="C5" s="2" t="s">
        <v>53</v>
      </c>
    </row>
    <row r="6" spans="1:3" x14ac:dyDescent="0.3">
      <c r="A6" s="2" t="s">
        <v>29</v>
      </c>
      <c r="B6" s="3">
        <v>45051</v>
      </c>
      <c r="C6" s="2" t="s">
        <v>54</v>
      </c>
    </row>
    <row r="7" spans="1:3" x14ac:dyDescent="0.3">
      <c r="A7" s="2" t="s">
        <v>33</v>
      </c>
      <c r="B7" s="3">
        <v>45087</v>
      </c>
      <c r="C7" s="2" t="s">
        <v>54</v>
      </c>
    </row>
    <row r="8" spans="1:3" x14ac:dyDescent="0.3">
      <c r="A8" s="2" t="s">
        <v>38</v>
      </c>
      <c r="B8" s="3">
        <v>45122</v>
      </c>
      <c r="C8" s="2" t="s">
        <v>53</v>
      </c>
    </row>
    <row r="9" spans="1:3" x14ac:dyDescent="0.3">
      <c r="A9" s="2" t="s">
        <v>41</v>
      </c>
      <c r="B9" s="3">
        <v>45139</v>
      </c>
      <c r="C9" s="2" t="s">
        <v>54</v>
      </c>
    </row>
    <row r="10" spans="1:3" x14ac:dyDescent="0.3">
      <c r="A10" s="2" t="s">
        <v>44</v>
      </c>
      <c r="B10" s="3">
        <v>45181</v>
      </c>
      <c r="C10" s="2" t="s">
        <v>54</v>
      </c>
    </row>
    <row r="11" spans="1:3" x14ac:dyDescent="0.3">
      <c r="A11" s="2" t="s">
        <v>48</v>
      </c>
      <c r="B11" s="3">
        <v>45219</v>
      </c>
      <c r="C11" s="2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Ordini</vt:lpstr>
      <vt:lpstr>Soglie</vt:lpstr>
      <vt:lpstr>Clienti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Izzi</dc:creator>
  <cp:lastModifiedBy>Riccardo Izzi</cp:lastModifiedBy>
  <dcterms:created xsi:type="dcterms:W3CDTF">2026-03-28T19:17:21Z</dcterms:created>
  <dcterms:modified xsi:type="dcterms:W3CDTF">2026-03-29T08:15:52Z</dcterms:modified>
</cp:coreProperties>
</file>