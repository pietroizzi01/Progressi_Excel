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fbaa0ee462193b/Desktop/Esercitazioni Excel/"/>
    </mc:Choice>
  </mc:AlternateContent>
  <xr:revisionPtr revIDLastSave="270" documentId="8_{CD9D403A-CD13-48F2-BAFA-6FAFC094E1B6}" xr6:coauthVersionLast="47" xr6:coauthVersionMax="47" xr10:uidLastSave="{C31064F0-7FBA-48D9-84A2-67A875F3672E}"/>
  <bookViews>
    <workbookView xWindow="-108" yWindow="-108" windowWidth="23256" windowHeight="12456" firstSheet="1" activeTab="1" xr2:uid="{DC77A294-0980-4BD1-B180-FDCD12F7C0CF}"/>
  </bookViews>
  <sheets>
    <sheet name="Dati" sheetId="1" state="hidden" r:id="rId1"/>
    <sheet name="Dashboard" sheetId="2" r:id="rId2"/>
    <sheet name="Metodo pagamento" sheetId="7" state="hidden" r:id="rId3"/>
    <sheet name="Vendite" sheetId="5" state="hidden" r:id="rId4"/>
    <sheet name="Categoria" sheetId="4" state="hidden" r:id="rId5"/>
    <sheet name="Città" sheetId="3" state="hidden" r:id="rId6"/>
  </sheets>
  <definedNames>
    <definedName name="categoria">Dashboard!$L$6</definedName>
    <definedName name="città">Dashboard!$F$6</definedName>
    <definedName name="fatturatotot">Città!$H$2</definedName>
    <definedName name="quantitàvenduta">Categoria!$I$9</definedName>
    <definedName name="vendite">Vendite!$G$2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11" i="3"/>
  <c r="B12" i="3"/>
  <c r="B9" i="3"/>
  <c r="A9" i="3" a="1"/>
  <c r="A9" i="3" s="1"/>
  <c r="B17" i="4"/>
  <c r="B18" i="4"/>
  <c r="B19" i="4"/>
  <c r="B16" i="4"/>
  <c r="A16" i="4" a="1"/>
  <c r="A16" i="4" s="1"/>
  <c r="B11" i="5"/>
  <c r="B10" i="5"/>
  <c r="B9" i="5"/>
  <c r="A9" i="5" a="1"/>
  <c r="A9" i="5" s="1"/>
  <c r="A2" i="7" a="1"/>
  <c r="A2" i="7" s="1"/>
  <c r="B2" i="7" s="1"/>
  <c r="A9" i="4" a="1"/>
  <c r="B11" i="4" s="1"/>
  <c r="A2" i="5" a="1"/>
  <c r="A2" i="5" s="1"/>
  <c r="B2" i="5" s="1"/>
  <c r="A2" i="4" a="1"/>
  <c r="A2" i="4" s="1"/>
  <c r="B2" i="4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A2" i="3" a="1"/>
  <c r="A2" i="3" s="1"/>
  <c r="B2" i="3" s="1"/>
  <c r="D9" i="3" l="1" a="1"/>
  <c r="D9" i="3" s="1"/>
  <c r="E16" i="4" a="1"/>
  <c r="B4" i="5"/>
  <c r="B3" i="5"/>
  <c r="B10" i="4"/>
  <c r="A9" i="4"/>
  <c r="B9" i="4" s="1"/>
  <c r="B5" i="4"/>
  <c r="B12" i="4"/>
  <c r="B4" i="4"/>
  <c r="B3" i="4"/>
  <c r="B4" i="7"/>
  <c r="B5" i="5"/>
  <c r="B3" i="7"/>
  <c r="B5" i="3"/>
  <c r="B4" i="3"/>
  <c r="B3" i="3"/>
  <c r="F11" i="3" l="1" a="1"/>
  <c r="F11" i="3" s="1"/>
  <c r="G10" i="3" a="1"/>
  <c r="G10" i="3" s="1"/>
  <c r="F12" i="3" a="1"/>
  <c r="F12" i="3" s="1"/>
  <c r="F10" i="3" a="1"/>
  <c r="F10" i="3" s="1"/>
  <c r="G12" i="3" a="1"/>
  <c r="G12" i="3" s="1"/>
  <c r="G11" i="3" a="1"/>
  <c r="G11" i="3" s="1"/>
  <c r="G9" i="3" a="1"/>
  <c r="G9" i="3" s="1"/>
  <c r="F9" i="3" a="1"/>
  <c r="F9" i="3" s="1"/>
  <c r="E16" i="4"/>
  <c r="G16" i="4" s="1" a="1"/>
  <c r="G16" i="4" s="1"/>
  <c r="G17" i="4" a="1"/>
  <c r="G17" i="4" s="1"/>
  <c r="G18" i="4" a="1"/>
  <c r="G18" i="4" s="1"/>
  <c r="G19" i="4" a="1"/>
  <c r="G19" i="4" s="1"/>
  <c r="H19" i="4" a="1"/>
  <c r="H19" i="4" s="1"/>
  <c r="H18" i="4" a="1"/>
  <c r="H18" i="4" s="1"/>
  <c r="H17" i="4" a="1"/>
  <c r="H17" i="4" s="1"/>
  <c r="E9" i="4" a="1"/>
  <c r="E9" i="4" s="1"/>
  <c r="I9" i="4" s="1"/>
  <c r="D2" i="5" a="1"/>
  <c r="D2" i="5" s="1"/>
  <c r="G2" i="5" s="1"/>
  <c r="E2" i="4" a="1"/>
  <c r="E2" i="4" s="1"/>
  <c r="I2" i="4" s="1"/>
  <c r="B5" i="7"/>
  <c r="C4" i="7" s="1"/>
  <c r="D2" i="3" a="1"/>
  <c r="D2" i="3" s="1"/>
  <c r="H2" i="3" s="1"/>
  <c r="H16" i="4" l="1" a="1"/>
  <c r="H16" i="4" s="1"/>
  <c r="C2" i="7"/>
  <c r="C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<sst xmlns="http://schemas.openxmlformats.org/spreadsheetml/2006/main" count="165" uniqueCount="47">
  <si>
    <t>ID_Vendita</t>
  </si>
  <si>
    <t>Data</t>
  </si>
  <si>
    <t>Città</t>
  </si>
  <si>
    <t>Negozio</t>
  </si>
  <si>
    <t>Categoria</t>
  </si>
  <si>
    <t>Prodotto</t>
  </si>
  <si>
    <t>Prezzo (€)</t>
  </si>
  <si>
    <t>Quantità</t>
  </si>
  <si>
    <t>Venditore</t>
  </si>
  <si>
    <t>Metodo_Pagamento</t>
  </si>
  <si>
    <t>Bari</t>
  </si>
  <si>
    <t>TechStore Bari</t>
  </si>
  <si>
    <t>Smartphone</t>
  </si>
  <si>
    <t>iPhone 14</t>
  </si>
  <si>
    <t>Luca Rossi</t>
  </si>
  <si>
    <t>Carta</t>
  </si>
  <si>
    <t>Roma</t>
  </si>
  <si>
    <t>TechStore Roma</t>
  </si>
  <si>
    <t>Laptop</t>
  </si>
  <si>
    <t>Dell XPS 13</t>
  </si>
  <si>
    <t>Mario Bianchi</t>
  </si>
  <si>
    <t>Online</t>
  </si>
  <si>
    <t>Milano</t>
  </si>
  <si>
    <t>TechStore Milano</t>
  </si>
  <si>
    <t>Tablet</t>
  </si>
  <si>
    <t>iPad Air</t>
  </si>
  <si>
    <t>Giulia Verdi</t>
  </si>
  <si>
    <t>Napoli</t>
  </si>
  <si>
    <t>TechStore Napoli</t>
  </si>
  <si>
    <t>Accessori</t>
  </si>
  <si>
    <t>AirPods</t>
  </si>
  <si>
    <t>Francesco Neri</t>
  </si>
  <si>
    <t>Contanti</t>
  </si>
  <si>
    <t>MacBook Air</t>
  </si>
  <si>
    <t>Samsung S23</t>
  </si>
  <si>
    <t>Mouse Logitech</t>
  </si>
  <si>
    <t>Samsung Tab S8</t>
  </si>
  <si>
    <t>Tastiera Logitech</t>
  </si>
  <si>
    <t>HP Spectre</t>
  </si>
  <si>
    <t>iPad Pro</t>
  </si>
  <si>
    <t>iPhone 13</t>
  </si>
  <si>
    <t>Acer Aspire</t>
  </si>
  <si>
    <t>Totale</t>
  </si>
  <si>
    <t>Fatturato</t>
  </si>
  <si>
    <t>Analisi Vendite Retail 2025</t>
  </si>
  <si>
    <t>Vendite</t>
  </si>
  <si>
    <t>Metodo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</si>
</sst>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20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5" fillId="0" borderId="0" xfId="0" applyFont="1"/>
    <xf numFmtId="164" fontId="0" fillId="0" borderId="0" xfId="1" applyNumberFormat="1" applyFont="1"/>
    <xf numFmtId="0" fontId="6" fillId="0" borderId="0" xfId="4" applyFont="1" applyBorder="1"/>
    <xf numFmtId="9" fontId="0" fillId="0" borderId="0" xfId="2" applyFont="1"/>
    <xf numFmtId="0" fontId="4" fillId="2" borderId="3" xfId="5" applyBorder="1" applyAlignment="1" applyProtection="1">
      <alignment horizontal="center"/>
      <protection locked="0"/>
    </xf>
    <xf numFmtId="0" fontId="7" fillId="0" borderId="1" xfId="3" applyFont="1" applyAlignment="1">
      <alignment horizontal="center"/>
    </xf>
  </cellXfs>
  <cellStyles count="6">
    <cellStyle name="Migliaia" xfId="1" builtinId="3"/>
    <cellStyle name="Neutrale" xfId="5" builtinId="28"/>
    <cellStyle name="Normale" xfId="0" builtinId="0"/>
    <cellStyle name="Percentuale" xfId="2" builtinId="5"/>
    <cellStyle name="Titolo 1" xfId="3" builtinId="16"/>
    <cellStyle name="Titolo 2" xfId="4" builtinId="17"/>
  </cellStyles>
  <dxfs count="3"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  <a:r>
              <a:rPr lang="it-IT" baseline="0"/>
              <a:t> per metodo di pagamento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28-4D79-B717-2235396444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28-4D79-B717-2235396444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28-4D79-B717-2235396444D7}"/>
              </c:ext>
            </c:extLst>
          </c:dPt>
          <c:cat>
            <c:strRef>
              <c:f>'Metodo pagamento'!$A$2:$A$4</c:f>
              <c:strCache>
                <c:ptCount val="3"/>
                <c:pt idx="0">
                  <c:v>Carta</c:v>
                </c:pt>
                <c:pt idx="1">
                  <c:v>Online</c:v>
                </c:pt>
                <c:pt idx="2">
                  <c:v>Contanti</c:v>
                </c:pt>
              </c:strCache>
            </c:strRef>
          </c:cat>
          <c:val>
            <c:numRef>
              <c:f>'Metodo pagamento'!$C$2:$C$4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28-4D79-B717-223539644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Andamento Vendite per mese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2562134807144883E-2"/>
          <c:y val="0.19391353811149037"/>
          <c:w val="0.8686781752703745"/>
          <c:h val="0.6575183861402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Vendite!$A$9:$A$11</c:f>
              <c:strCache>
                <c:ptCount val="3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</c:strCache>
            </c:strRef>
          </c:cat>
          <c:val>
            <c:numRef>
              <c:f>Vendite!$B$9:$B$11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3-48AD-B2F1-E4E5C5C7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853455"/>
        <c:axId val="700845775"/>
      </c:barChart>
      <c:catAx>
        <c:axId val="70085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0845775"/>
        <c:crosses val="autoZero"/>
        <c:auto val="1"/>
        <c:lblAlgn val="ctr"/>
        <c:lblOffset val="100"/>
        <c:noMultiLvlLbl val="0"/>
      </c:catAx>
      <c:valAx>
        <c:axId val="7008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085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Vendite</a:t>
            </a:r>
            <a:r>
              <a:rPr lang="it-IT" baseline="0"/>
              <a:t> per categoria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Categoria!$E$16:$E$19</c:f>
              <c:strCache>
                <c:ptCount val="4"/>
                <c:pt idx="0">
                  <c:v>Tablet</c:v>
                </c:pt>
                <c:pt idx="1">
                  <c:v>Accessori</c:v>
                </c:pt>
                <c:pt idx="2">
                  <c:v>Smartphone</c:v>
                </c:pt>
                <c:pt idx="3">
                  <c:v>Laptop</c:v>
                </c:pt>
              </c:strCache>
            </c:strRef>
          </c:cat>
          <c:val>
            <c:numRef>
              <c:f>Categoria!$G$16:$G$19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1-4043-90B4-FBA2407F33DF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Categoria!$E$16:$E$19</c:f>
              <c:strCache>
                <c:ptCount val="4"/>
                <c:pt idx="0">
                  <c:v>Tablet</c:v>
                </c:pt>
                <c:pt idx="1">
                  <c:v>Accessori</c:v>
                </c:pt>
                <c:pt idx="2">
                  <c:v>Smartphone</c:v>
                </c:pt>
                <c:pt idx="3">
                  <c:v>Laptop</c:v>
                </c:pt>
              </c:strCache>
            </c:strRef>
          </c:cat>
          <c:val>
            <c:numRef>
              <c:f>Categoria!$H$16:$H$19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1-4043-90B4-FBA2407F3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0854895"/>
        <c:axId val="700855855"/>
      </c:barChart>
      <c:catAx>
        <c:axId val="700854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0855855"/>
        <c:crosses val="autoZero"/>
        <c:auto val="1"/>
        <c:lblAlgn val="ctr"/>
        <c:lblOffset val="100"/>
        <c:noMultiLvlLbl val="0"/>
      </c:catAx>
      <c:valAx>
        <c:axId val="70085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085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Vendite per città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Città!$D$9:$D$12</c:f>
              <c:strCache>
                <c:ptCount val="4"/>
                <c:pt idx="0">
                  <c:v>Bari</c:v>
                </c:pt>
                <c:pt idx="1">
                  <c:v>Roma</c:v>
                </c:pt>
                <c:pt idx="2">
                  <c:v>Milano</c:v>
                </c:pt>
                <c:pt idx="3">
                  <c:v>Napoli</c:v>
                </c:pt>
              </c:strCache>
            </c:strRef>
          </c:cat>
          <c:val>
            <c:numRef>
              <c:f>Città!$F$9:$F$12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0-476A-8AEE-2FB4516CBADB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Città!$D$9:$D$12</c:f>
              <c:strCache>
                <c:ptCount val="4"/>
                <c:pt idx="0">
                  <c:v>Bari</c:v>
                </c:pt>
                <c:pt idx="1">
                  <c:v>Roma</c:v>
                </c:pt>
                <c:pt idx="2">
                  <c:v>Milano</c:v>
                </c:pt>
                <c:pt idx="3">
                  <c:v>Napoli</c:v>
                </c:pt>
              </c:strCache>
            </c:strRef>
          </c:cat>
          <c:val>
            <c:numRef>
              <c:f>Città!$G$9:$G$12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0-476A-8AEE-2FB4516CB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0859695"/>
        <c:axId val="700843855"/>
      </c:barChart>
      <c:catAx>
        <c:axId val="70085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0843855"/>
        <c:crosses val="autoZero"/>
        <c:auto val="1"/>
        <c:lblAlgn val="ctr"/>
        <c:lblOffset val="100"/>
        <c:noMultiLvlLbl val="0"/>
      </c:catAx>
      <c:valAx>
        <c:axId val="70084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08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7</xdr:row>
      <xdr:rowOff>45720</xdr:rowOff>
    </xdr:from>
    <xdr:to>
      <xdr:col>10</xdr:col>
      <xdr:colOff>182880</xdr:colOff>
      <xdr:row>13</xdr:row>
      <xdr:rowOff>15240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3058BCAA-5066-49AD-A1BE-0196B11D865F}"/>
            </a:ext>
          </a:extLst>
        </xdr:cNvPr>
        <xdr:cNvSpPr txBox="1"/>
      </xdr:nvSpPr>
      <xdr:spPr>
        <a:xfrm>
          <a:off x="4411980" y="1485900"/>
          <a:ext cx="1866900" cy="106680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800" b="1"/>
            <a:t>Numero Vendite</a:t>
          </a:r>
        </a:p>
      </xdr:txBody>
    </xdr:sp>
    <xdr:clientData/>
  </xdr:twoCellAnchor>
  <xdr:twoCellAnchor>
    <xdr:from>
      <xdr:col>3</xdr:col>
      <xdr:colOff>472440</xdr:colOff>
      <xdr:row>7</xdr:row>
      <xdr:rowOff>38100</xdr:rowOff>
    </xdr:from>
    <xdr:to>
      <xdr:col>6</xdr:col>
      <xdr:colOff>510540</xdr:colOff>
      <xdr:row>13</xdr:row>
      <xdr:rowOff>7620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FBAFA48E-A957-76A8-832C-C38A6209D9F4}"/>
            </a:ext>
          </a:extLst>
        </xdr:cNvPr>
        <xdr:cNvSpPr txBox="1"/>
      </xdr:nvSpPr>
      <xdr:spPr>
        <a:xfrm>
          <a:off x="2301240" y="1478280"/>
          <a:ext cx="1866900" cy="106680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800" b="1"/>
            <a:t>Fatturato totale</a:t>
          </a:r>
        </a:p>
      </xdr:txBody>
    </xdr:sp>
    <xdr:clientData/>
  </xdr:twoCellAnchor>
  <xdr:twoCellAnchor>
    <xdr:from>
      <xdr:col>4</xdr:col>
      <xdr:colOff>99060</xdr:colOff>
      <xdr:row>9</xdr:row>
      <xdr:rowOff>68580</xdr:rowOff>
    </xdr:from>
    <xdr:to>
      <xdr:col>6</xdr:col>
      <xdr:colOff>205740</xdr:colOff>
      <xdr:row>12</xdr:row>
      <xdr:rowOff>22860</xdr:rowOff>
    </xdr:to>
    <xdr:sp macro="" textlink="fatturatotot">
      <xdr:nvSpPr>
        <xdr:cNvPr id="3" name="CasellaDiTesto 2">
          <a:extLst>
            <a:ext uri="{FF2B5EF4-FFF2-40B4-BE49-F238E27FC236}">
              <a16:creationId xmlns:a16="http://schemas.microsoft.com/office/drawing/2014/main" id="{FDBC4B76-8C86-98D6-B6BB-957AB66D74B6}"/>
            </a:ext>
          </a:extLst>
        </xdr:cNvPr>
        <xdr:cNvSpPr txBox="1"/>
      </xdr:nvSpPr>
      <xdr:spPr>
        <a:xfrm>
          <a:off x="2537460" y="1874520"/>
          <a:ext cx="1325880" cy="502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4AC6A42-ABAD-40FD-A07C-7E25BF149886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 2.550 </a:t>
          </a:fld>
          <a:endParaRPr lang="it-IT" sz="2400" b="1"/>
        </a:p>
      </xdr:txBody>
    </xdr:sp>
    <xdr:clientData/>
  </xdr:twoCellAnchor>
  <xdr:twoCellAnchor>
    <xdr:from>
      <xdr:col>7</xdr:col>
      <xdr:colOff>388620</xdr:colOff>
      <xdr:row>9</xdr:row>
      <xdr:rowOff>53340</xdr:rowOff>
    </xdr:from>
    <xdr:to>
      <xdr:col>9</xdr:col>
      <xdr:colOff>495300</xdr:colOff>
      <xdr:row>12</xdr:row>
      <xdr:rowOff>7620</xdr:rowOff>
    </xdr:to>
    <xdr:sp macro="" textlink="vendite">
      <xdr:nvSpPr>
        <xdr:cNvPr id="5" name="CasellaDiTesto 4">
          <a:extLst>
            <a:ext uri="{FF2B5EF4-FFF2-40B4-BE49-F238E27FC236}">
              <a16:creationId xmlns:a16="http://schemas.microsoft.com/office/drawing/2014/main" id="{C2016160-7EB2-49EC-BBFF-D84C43375463}"/>
            </a:ext>
          </a:extLst>
        </xdr:cNvPr>
        <xdr:cNvSpPr txBox="1"/>
      </xdr:nvSpPr>
      <xdr:spPr>
        <a:xfrm>
          <a:off x="4655820" y="1859280"/>
          <a:ext cx="1325880" cy="502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221D624-B0E6-4295-B307-7F370E3457F4}" type="TxLink">
            <a:rPr lang="en-US" sz="2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</a:t>
          </a:fld>
          <a:endParaRPr lang="it-IT" sz="2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556260</xdr:colOff>
      <xdr:row>7</xdr:row>
      <xdr:rowOff>38100</xdr:rowOff>
    </xdr:from>
    <xdr:to>
      <xdr:col>13</xdr:col>
      <xdr:colOff>594360</xdr:colOff>
      <xdr:row>13</xdr:row>
      <xdr:rowOff>7620</xdr:rowOff>
    </xdr:to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17757F4E-DB7B-4EF8-836C-7F4F3A223EB8}"/>
            </a:ext>
          </a:extLst>
        </xdr:cNvPr>
        <xdr:cNvSpPr txBox="1"/>
      </xdr:nvSpPr>
      <xdr:spPr>
        <a:xfrm>
          <a:off x="6652260" y="1478280"/>
          <a:ext cx="1866900" cy="106680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800" b="1"/>
            <a:t>Quantità</a:t>
          </a:r>
          <a:r>
            <a:rPr lang="it-IT" sz="1800" b="1" baseline="0"/>
            <a:t> Venduta</a:t>
          </a:r>
          <a:endParaRPr lang="it-IT" sz="1800" b="1"/>
        </a:p>
      </xdr:txBody>
    </xdr:sp>
    <xdr:clientData/>
  </xdr:twoCellAnchor>
  <xdr:twoCellAnchor>
    <xdr:from>
      <xdr:col>11</xdr:col>
      <xdr:colOff>243840</xdr:colOff>
      <xdr:row>9</xdr:row>
      <xdr:rowOff>15240</xdr:rowOff>
    </xdr:from>
    <xdr:to>
      <xdr:col>13</xdr:col>
      <xdr:colOff>350520</xdr:colOff>
      <xdr:row>11</xdr:row>
      <xdr:rowOff>152400</xdr:rowOff>
    </xdr:to>
    <xdr:sp macro="" textlink="quantitàvenduta">
      <xdr:nvSpPr>
        <xdr:cNvPr id="7" name="CasellaDiTesto 6">
          <a:extLst>
            <a:ext uri="{FF2B5EF4-FFF2-40B4-BE49-F238E27FC236}">
              <a16:creationId xmlns:a16="http://schemas.microsoft.com/office/drawing/2014/main" id="{08839BD4-F356-439B-BFB5-1D2AB4469F6C}"/>
            </a:ext>
          </a:extLst>
        </xdr:cNvPr>
        <xdr:cNvSpPr txBox="1"/>
      </xdr:nvSpPr>
      <xdr:spPr>
        <a:xfrm>
          <a:off x="6949440" y="1821180"/>
          <a:ext cx="1325880" cy="502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D962A32-0F08-4D28-B1EE-DF8786809757}" type="TxLink">
            <a:rPr lang="en-US" sz="2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</a:t>
          </a:fld>
          <a:endParaRPr lang="it-IT" sz="2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220980</xdr:colOff>
      <xdr:row>14</xdr:row>
      <xdr:rowOff>22860</xdr:rowOff>
    </xdr:from>
    <xdr:to>
      <xdr:col>9</xdr:col>
      <xdr:colOff>205740</xdr:colOff>
      <xdr:row>26</xdr:row>
      <xdr:rowOff>60960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7F429F33-80B7-4FCF-860E-10836D944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365760</xdr:colOff>
      <xdr:row>14</xdr:row>
      <xdr:rowOff>15240</xdr:rowOff>
    </xdr:from>
    <xdr:to>
      <xdr:col>14</xdr:col>
      <xdr:colOff>510540</xdr:colOff>
      <xdr:row>26</xdr:row>
      <xdr:rowOff>53340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CFF2F3CF-5C9A-46CF-A6EF-C6A01332C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175260</xdr:colOff>
      <xdr:row>26</xdr:row>
      <xdr:rowOff>175260</xdr:rowOff>
    </xdr:from>
    <xdr:to>
      <xdr:col>9</xdr:col>
      <xdr:colOff>175260</xdr:colOff>
      <xdr:row>41</xdr:row>
      <xdr:rowOff>152400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D34126E5-F9E3-4649-BE8C-C45EDB460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388620</xdr:colOff>
      <xdr:row>27</xdr:row>
      <xdr:rowOff>7620</xdr:rowOff>
    </xdr:from>
    <xdr:to>
      <xdr:col>14</xdr:col>
      <xdr:colOff>556260</xdr:colOff>
      <xdr:row>41</xdr:row>
      <xdr:rowOff>76200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58DD307-894C-4055-BC8B-45237171C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BE7F5-0724-4EB3-B8AA-F7A760C7EF7C}" name="retail" displayName="retail" ref="A1:K25" headerRowDxfId="2">
  <autoFilter ref="A1:K25" xr:uid="{CCBBE7F5-0724-4EB3-B8AA-F7A760C7EF7C}"/>
  <tableColumns count="11">
    <tableColumn id="1" xr3:uid="{B768FF03-C844-4199-AC3C-F759D6B96D72}" name="ID_Vendita" totalsRowLabel="Totale"/>
    <tableColumn id="2" xr3:uid="{5A4DF6A6-76F2-4E7B-98D3-A08D226FEA5C}" name="Data" dataDxfId="1"/>
    <tableColumn id="3" xr3:uid="{F4AAC75C-B5B1-450B-B43B-8F72F79E16AD}" name="Città"/>
    <tableColumn id="4" xr3:uid="{F2A84C75-48F7-4786-8163-0502199FCCA8}" name="Negozio"/>
    <tableColumn id="5" xr3:uid="{F152629B-AA76-4207-92BD-39D882BF62D2}" name="Categoria"/>
    <tableColumn id="6" xr3:uid="{606C7913-9FD9-42F5-B08F-160161EAE6E1}" name="Prodotto"/>
    <tableColumn id="7" xr3:uid="{F5D6329D-3979-4D41-8D15-D5C15F441C2A}" name="Prezzo (€)"/>
    <tableColumn id="8" xr3:uid="{FCC34698-B879-4924-8A33-A2131551AD58}" name="Quantità"/>
    <tableColumn id="9" xr3:uid="{F768A764-2DBE-49C7-B23E-48E0F9944DD9}" name="Venditore"/>
    <tableColumn id="10" xr3:uid="{6C1FC236-10F6-4F89-A34F-F98E4E97BE18}" name="Metodo_Pagamento" totalsRowFunction="count"/>
    <tableColumn id="11" xr3:uid="{8C92EBEC-E0F9-4D1F-B1CF-CF04DFFE9387}" name="Fatturato" dataDxfId="0">
      <calculatedColumnFormula>retail[[#This Row],[Prezzo (€)]]*retail[[#This Row],[Quantità]]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9578-7275-480B-BCC4-1FA9EF7B87AE}">
  <dimension ref="A1:K25"/>
  <sheetViews>
    <sheetView workbookViewId="0">
      <selection activeCell="E29" sqref="E29"/>
    </sheetView>
  </sheetViews>
  <sheetFormatPr defaultRowHeight="14.4" x14ac:dyDescent="0.3"/>
  <cols>
    <col min="1" max="1" width="11.88671875" customWidth="1"/>
    <col min="2" max="2" width="10.33203125" bestFit="1" customWidth="1"/>
    <col min="4" max="4" width="14.88671875" bestFit="1" customWidth="1"/>
    <col min="5" max="5" width="10.88671875" customWidth="1"/>
    <col min="6" max="6" width="14.6640625" bestFit="1" customWidth="1"/>
    <col min="7" max="7" width="13.77734375" bestFit="1" customWidth="1"/>
    <col min="8" max="8" width="10.109375" customWidth="1"/>
    <col min="9" max="9" width="13.44140625" bestFit="1" customWidth="1"/>
    <col min="10" max="10" width="19.21875" customWidth="1"/>
    <col min="11" max="11" width="10.88671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43</v>
      </c>
    </row>
    <row r="2" spans="1:11" x14ac:dyDescent="0.3">
      <c r="A2">
        <v>1</v>
      </c>
      <c r="B2" s="1">
        <v>45660</v>
      </c>
      <c r="C2" t="s">
        <v>10</v>
      </c>
      <c r="D2" t="s">
        <v>11</v>
      </c>
      <c r="E2" t="s">
        <v>12</v>
      </c>
      <c r="F2" t="s">
        <v>13</v>
      </c>
      <c r="G2">
        <v>899</v>
      </c>
      <c r="H2">
        <v>2</v>
      </c>
      <c r="I2" t="s">
        <v>14</v>
      </c>
      <c r="J2" t="s">
        <v>15</v>
      </c>
      <c r="K2">
        <f>retail[[#This Row],[Prezzo (€)]]*retail[[#This Row],[Quantità]]</f>
        <v>1798</v>
      </c>
    </row>
    <row r="3" spans="1:11" x14ac:dyDescent="0.3">
      <c r="A3">
        <v>2</v>
      </c>
      <c r="B3" s="1">
        <v>45662</v>
      </c>
      <c r="C3" t="s">
        <v>16</v>
      </c>
      <c r="D3" t="s">
        <v>17</v>
      </c>
      <c r="E3" t="s">
        <v>18</v>
      </c>
      <c r="F3" t="s">
        <v>19</v>
      </c>
      <c r="G3">
        <v>1200</v>
      </c>
      <c r="H3">
        <v>1</v>
      </c>
      <c r="I3" t="s">
        <v>20</v>
      </c>
      <c r="J3" t="s">
        <v>21</v>
      </c>
      <c r="K3">
        <f>retail[[#This Row],[Prezzo (€)]]*retail[[#This Row],[Quantità]]</f>
        <v>1200</v>
      </c>
    </row>
    <row r="4" spans="1:11" x14ac:dyDescent="0.3">
      <c r="A4">
        <v>3</v>
      </c>
      <c r="B4" s="1">
        <v>45664</v>
      </c>
      <c r="C4" t="s">
        <v>22</v>
      </c>
      <c r="D4" t="s">
        <v>23</v>
      </c>
      <c r="E4" t="s">
        <v>24</v>
      </c>
      <c r="F4" t="s">
        <v>25</v>
      </c>
      <c r="G4">
        <v>750</v>
      </c>
      <c r="H4">
        <v>3</v>
      </c>
      <c r="I4" t="s">
        <v>26</v>
      </c>
      <c r="J4" t="s">
        <v>15</v>
      </c>
      <c r="K4">
        <f>retail[[#This Row],[Prezzo (€)]]*retail[[#This Row],[Quantità]]</f>
        <v>2250</v>
      </c>
    </row>
    <row r="5" spans="1:11" x14ac:dyDescent="0.3">
      <c r="A5">
        <v>4</v>
      </c>
      <c r="B5" s="1">
        <v>45667</v>
      </c>
      <c r="C5" t="s">
        <v>27</v>
      </c>
      <c r="D5" t="s">
        <v>28</v>
      </c>
      <c r="E5" t="s">
        <v>29</v>
      </c>
      <c r="F5" t="s">
        <v>30</v>
      </c>
      <c r="G5">
        <v>199</v>
      </c>
      <c r="H5">
        <v>5</v>
      </c>
      <c r="I5" t="s">
        <v>31</v>
      </c>
      <c r="J5" t="s">
        <v>32</v>
      </c>
      <c r="K5">
        <f>retail[[#This Row],[Prezzo (€)]]*retail[[#This Row],[Quantità]]</f>
        <v>995</v>
      </c>
    </row>
    <row r="6" spans="1:11" x14ac:dyDescent="0.3">
      <c r="A6">
        <v>5</v>
      </c>
      <c r="B6" s="1">
        <v>45669</v>
      </c>
      <c r="C6" t="s">
        <v>10</v>
      </c>
      <c r="D6" t="s">
        <v>11</v>
      </c>
      <c r="E6" t="s">
        <v>18</v>
      </c>
      <c r="F6" t="s">
        <v>33</v>
      </c>
      <c r="G6">
        <v>1300</v>
      </c>
      <c r="H6">
        <v>1</v>
      </c>
      <c r="I6" t="s">
        <v>14</v>
      </c>
      <c r="J6" t="s">
        <v>15</v>
      </c>
      <c r="K6">
        <f>retail[[#This Row],[Prezzo (€)]]*retail[[#This Row],[Quantità]]</f>
        <v>1300</v>
      </c>
    </row>
    <row r="7" spans="1:11" x14ac:dyDescent="0.3">
      <c r="A7">
        <v>6</v>
      </c>
      <c r="B7" s="1">
        <v>45672</v>
      </c>
      <c r="C7" t="s">
        <v>16</v>
      </c>
      <c r="D7" t="s">
        <v>17</v>
      </c>
      <c r="E7" t="s">
        <v>12</v>
      </c>
      <c r="F7" t="s">
        <v>34</v>
      </c>
      <c r="G7">
        <v>850</v>
      </c>
      <c r="H7">
        <v>2</v>
      </c>
      <c r="I7" t="s">
        <v>20</v>
      </c>
      <c r="J7" t="s">
        <v>21</v>
      </c>
      <c r="K7">
        <f>retail[[#This Row],[Prezzo (€)]]*retail[[#This Row],[Quantità]]</f>
        <v>1700</v>
      </c>
    </row>
    <row r="8" spans="1:11" x14ac:dyDescent="0.3">
      <c r="A8">
        <v>7</v>
      </c>
      <c r="B8" s="1">
        <v>45675</v>
      </c>
      <c r="C8" t="s">
        <v>22</v>
      </c>
      <c r="D8" t="s">
        <v>23</v>
      </c>
      <c r="E8" t="s">
        <v>29</v>
      </c>
      <c r="F8" t="s">
        <v>35</v>
      </c>
      <c r="G8">
        <v>50</v>
      </c>
      <c r="H8">
        <v>4</v>
      </c>
      <c r="I8" t="s">
        <v>26</v>
      </c>
      <c r="J8" t="s">
        <v>15</v>
      </c>
      <c r="K8">
        <f>retail[[#This Row],[Prezzo (€)]]*retail[[#This Row],[Quantità]]</f>
        <v>200</v>
      </c>
    </row>
    <row r="9" spans="1:11" x14ac:dyDescent="0.3">
      <c r="A9">
        <v>8</v>
      </c>
      <c r="B9" s="1">
        <v>45677</v>
      </c>
      <c r="C9" t="s">
        <v>27</v>
      </c>
      <c r="D9" t="s">
        <v>28</v>
      </c>
      <c r="E9" t="s">
        <v>24</v>
      </c>
      <c r="F9" t="s">
        <v>36</v>
      </c>
      <c r="G9">
        <v>700</v>
      </c>
      <c r="H9">
        <v>2</v>
      </c>
      <c r="I9" t="s">
        <v>31</v>
      </c>
      <c r="J9" t="s">
        <v>32</v>
      </c>
      <c r="K9">
        <f>retail[[#This Row],[Prezzo (€)]]*retail[[#This Row],[Quantità]]</f>
        <v>1400</v>
      </c>
    </row>
    <row r="10" spans="1:11" x14ac:dyDescent="0.3">
      <c r="A10">
        <v>9</v>
      </c>
      <c r="B10" s="1">
        <v>45682</v>
      </c>
      <c r="C10" t="s">
        <v>10</v>
      </c>
      <c r="D10" t="s">
        <v>11</v>
      </c>
      <c r="E10" t="s">
        <v>29</v>
      </c>
      <c r="F10" t="s">
        <v>37</v>
      </c>
      <c r="G10">
        <v>80</v>
      </c>
      <c r="H10">
        <v>3</v>
      </c>
      <c r="I10" t="s">
        <v>14</v>
      </c>
      <c r="J10" t="s">
        <v>15</v>
      </c>
      <c r="K10">
        <f>retail[[#This Row],[Prezzo (€)]]*retail[[#This Row],[Quantità]]</f>
        <v>240</v>
      </c>
    </row>
    <row r="11" spans="1:11" x14ac:dyDescent="0.3">
      <c r="A11">
        <v>10</v>
      </c>
      <c r="B11" s="1">
        <v>45689</v>
      </c>
      <c r="C11" t="s">
        <v>16</v>
      </c>
      <c r="D11" t="s">
        <v>17</v>
      </c>
      <c r="E11" t="s">
        <v>12</v>
      </c>
      <c r="F11" t="s">
        <v>13</v>
      </c>
      <c r="G11">
        <v>899</v>
      </c>
      <c r="H11">
        <v>1</v>
      </c>
      <c r="I11" t="s">
        <v>20</v>
      </c>
      <c r="J11" t="s">
        <v>21</v>
      </c>
      <c r="K11">
        <f>retail[[#This Row],[Prezzo (€)]]*retail[[#This Row],[Quantità]]</f>
        <v>899</v>
      </c>
    </row>
    <row r="12" spans="1:11" x14ac:dyDescent="0.3">
      <c r="A12">
        <v>11</v>
      </c>
      <c r="B12" s="1">
        <v>45691</v>
      </c>
      <c r="C12" t="s">
        <v>22</v>
      </c>
      <c r="D12" t="s">
        <v>23</v>
      </c>
      <c r="E12" t="s">
        <v>18</v>
      </c>
      <c r="F12" t="s">
        <v>38</v>
      </c>
      <c r="G12">
        <v>1100</v>
      </c>
      <c r="H12">
        <v>2</v>
      </c>
      <c r="I12" t="s">
        <v>26</v>
      </c>
      <c r="J12" t="s">
        <v>15</v>
      </c>
      <c r="K12">
        <f>retail[[#This Row],[Prezzo (€)]]*retail[[#This Row],[Quantità]]</f>
        <v>2200</v>
      </c>
    </row>
    <row r="13" spans="1:11" x14ac:dyDescent="0.3">
      <c r="A13">
        <v>12</v>
      </c>
      <c r="B13" s="1">
        <v>45694</v>
      </c>
      <c r="C13" t="s">
        <v>27</v>
      </c>
      <c r="D13" t="s">
        <v>28</v>
      </c>
      <c r="E13" t="s">
        <v>24</v>
      </c>
      <c r="F13" t="s">
        <v>39</v>
      </c>
      <c r="G13">
        <v>1000</v>
      </c>
      <c r="H13">
        <v>1</v>
      </c>
      <c r="I13" t="s">
        <v>31</v>
      </c>
      <c r="J13" t="s">
        <v>32</v>
      </c>
      <c r="K13">
        <f>retail[[#This Row],[Prezzo (€)]]*retail[[#This Row],[Quantità]]</f>
        <v>1000</v>
      </c>
    </row>
    <row r="14" spans="1:11" x14ac:dyDescent="0.3">
      <c r="A14">
        <v>13</v>
      </c>
      <c r="B14" s="1">
        <v>45698</v>
      </c>
      <c r="C14" t="s">
        <v>10</v>
      </c>
      <c r="D14" t="s">
        <v>11</v>
      </c>
      <c r="E14" t="s">
        <v>12</v>
      </c>
      <c r="F14" t="s">
        <v>34</v>
      </c>
      <c r="G14">
        <v>850</v>
      </c>
      <c r="H14">
        <v>2</v>
      </c>
      <c r="I14" t="s">
        <v>14</v>
      </c>
      <c r="J14" t="s">
        <v>15</v>
      </c>
      <c r="K14">
        <f>retail[[#This Row],[Prezzo (€)]]*retail[[#This Row],[Quantità]]</f>
        <v>1700</v>
      </c>
    </row>
    <row r="15" spans="1:11" x14ac:dyDescent="0.3">
      <c r="A15">
        <v>14</v>
      </c>
      <c r="B15" s="1">
        <v>45702</v>
      </c>
      <c r="C15" t="s">
        <v>16</v>
      </c>
      <c r="D15" t="s">
        <v>17</v>
      </c>
      <c r="E15" t="s">
        <v>29</v>
      </c>
      <c r="F15" t="s">
        <v>30</v>
      </c>
      <c r="G15">
        <v>199</v>
      </c>
      <c r="H15">
        <v>6</v>
      </c>
      <c r="I15" t="s">
        <v>20</v>
      </c>
      <c r="J15" t="s">
        <v>21</v>
      </c>
      <c r="K15">
        <f>retail[[#This Row],[Prezzo (€)]]*retail[[#This Row],[Quantità]]</f>
        <v>1194</v>
      </c>
    </row>
    <row r="16" spans="1:11" x14ac:dyDescent="0.3">
      <c r="A16">
        <v>15</v>
      </c>
      <c r="B16" s="1">
        <v>45706</v>
      </c>
      <c r="C16" t="s">
        <v>22</v>
      </c>
      <c r="D16" t="s">
        <v>23</v>
      </c>
      <c r="E16" t="s">
        <v>12</v>
      </c>
      <c r="F16" t="s">
        <v>40</v>
      </c>
      <c r="G16">
        <v>799</v>
      </c>
      <c r="H16">
        <v>2</v>
      </c>
      <c r="I16" t="s">
        <v>26</v>
      </c>
      <c r="J16" t="s">
        <v>15</v>
      </c>
      <c r="K16">
        <f>retail[[#This Row],[Prezzo (€)]]*retail[[#This Row],[Quantità]]</f>
        <v>1598</v>
      </c>
    </row>
    <row r="17" spans="1:11" x14ac:dyDescent="0.3">
      <c r="A17">
        <v>16</v>
      </c>
      <c r="B17" s="1">
        <v>45710</v>
      </c>
      <c r="C17" t="s">
        <v>27</v>
      </c>
      <c r="D17" t="s">
        <v>28</v>
      </c>
      <c r="E17" t="s">
        <v>18</v>
      </c>
      <c r="F17" t="s">
        <v>41</v>
      </c>
      <c r="G17">
        <v>900</v>
      </c>
      <c r="H17">
        <v>1</v>
      </c>
      <c r="I17" t="s">
        <v>31</v>
      </c>
      <c r="J17" t="s">
        <v>32</v>
      </c>
      <c r="K17">
        <f>retail[[#This Row],[Prezzo (€)]]*retail[[#This Row],[Quantità]]</f>
        <v>900</v>
      </c>
    </row>
    <row r="18" spans="1:11" x14ac:dyDescent="0.3">
      <c r="A18">
        <v>17</v>
      </c>
      <c r="B18" s="1">
        <v>45718</v>
      </c>
      <c r="C18" t="s">
        <v>10</v>
      </c>
      <c r="D18" t="s">
        <v>11</v>
      </c>
      <c r="E18" t="s">
        <v>24</v>
      </c>
      <c r="F18" t="s">
        <v>25</v>
      </c>
      <c r="G18">
        <v>750</v>
      </c>
      <c r="H18">
        <v>2</v>
      </c>
      <c r="I18" t="s">
        <v>14</v>
      </c>
      <c r="J18" t="s">
        <v>15</v>
      </c>
      <c r="K18">
        <f>retail[[#This Row],[Prezzo (€)]]*retail[[#This Row],[Quantità]]</f>
        <v>1500</v>
      </c>
    </row>
    <row r="19" spans="1:11" x14ac:dyDescent="0.3">
      <c r="A19">
        <v>18</v>
      </c>
      <c r="B19" s="1">
        <v>45721</v>
      </c>
      <c r="C19" t="s">
        <v>16</v>
      </c>
      <c r="D19" t="s">
        <v>17</v>
      </c>
      <c r="E19" t="s">
        <v>18</v>
      </c>
      <c r="F19" t="s">
        <v>19</v>
      </c>
      <c r="G19">
        <v>1200</v>
      </c>
      <c r="H19">
        <v>1</v>
      </c>
      <c r="I19" t="s">
        <v>20</v>
      </c>
      <c r="J19" t="s">
        <v>21</v>
      </c>
      <c r="K19">
        <f>retail[[#This Row],[Prezzo (€)]]*retail[[#This Row],[Quantità]]</f>
        <v>1200</v>
      </c>
    </row>
    <row r="20" spans="1:11" x14ac:dyDescent="0.3">
      <c r="A20">
        <v>19</v>
      </c>
      <c r="B20" s="1">
        <v>45724</v>
      </c>
      <c r="C20" t="s">
        <v>22</v>
      </c>
      <c r="D20" t="s">
        <v>23</v>
      </c>
      <c r="E20" t="s">
        <v>29</v>
      </c>
      <c r="F20" t="s">
        <v>35</v>
      </c>
      <c r="G20">
        <v>50</v>
      </c>
      <c r="H20">
        <v>5</v>
      </c>
      <c r="I20" t="s">
        <v>26</v>
      </c>
      <c r="J20" t="s">
        <v>15</v>
      </c>
      <c r="K20">
        <f>retail[[#This Row],[Prezzo (€)]]*retail[[#This Row],[Quantità]]</f>
        <v>250</v>
      </c>
    </row>
    <row r="21" spans="1:11" x14ac:dyDescent="0.3">
      <c r="A21">
        <v>20</v>
      </c>
      <c r="B21" s="1">
        <v>45728</v>
      </c>
      <c r="C21" t="s">
        <v>27</v>
      </c>
      <c r="D21" t="s">
        <v>28</v>
      </c>
      <c r="E21" t="s">
        <v>12</v>
      </c>
      <c r="F21" t="s">
        <v>34</v>
      </c>
      <c r="G21">
        <v>850</v>
      </c>
      <c r="H21">
        <v>3</v>
      </c>
      <c r="I21" t="s">
        <v>31</v>
      </c>
      <c r="J21" t="s">
        <v>32</v>
      </c>
      <c r="K21">
        <f>retail[[#This Row],[Prezzo (€)]]*retail[[#This Row],[Quantità]]</f>
        <v>2550</v>
      </c>
    </row>
    <row r="22" spans="1:11" x14ac:dyDescent="0.3">
      <c r="A22">
        <v>21</v>
      </c>
      <c r="B22" s="1">
        <v>45731</v>
      </c>
      <c r="C22" t="s">
        <v>10</v>
      </c>
      <c r="D22" t="s">
        <v>11</v>
      </c>
      <c r="E22" t="s">
        <v>18</v>
      </c>
      <c r="F22" t="s">
        <v>33</v>
      </c>
      <c r="G22">
        <v>1300</v>
      </c>
      <c r="H22">
        <v>1</v>
      </c>
      <c r="I22" t="s">
        <v>14</v>
      </c>
      <c r="J22" t="s">
        <v>15</v>
      </c>
      <c r="K22">
        <f>retail[[#This Row],[Prezzo (€)]]*retail[[#This Row],[Quantità]]</f>
        <v>1300</v>
      </c>
    </row>
    <row r="23" spans="1:11" x14ac:dyDescent="0.3">
      <c r="A23">
        <v>22</v>
      </c>
      <c r="B23" s="1">
        <v>45734</v>
      </c>
      <c r="C23" t="s">
        <v>16</v>
      </c>
      <c r="D23" t="s">
        <v>17</v>
      </c>
      <c r="E23" t="s">
        <v>24</v>
      </c>
      <c r="F23" t="s">
        <v>36</v>
      </c>
      <c r="G23">
        <v>700</v>
      </c>
      <c r="H23">
        <v>2</v>
      </c>
      <c r="I23" t="s">
        <v>20</v>
      </c>
      <c r="J23" t="s">
        <v>21</v>
      </c>
      <c r="K23">
        <f>retail[[#This Row],[Prezzo (€)]]*retail[[#This Row],[Quantità]]</f>
        <v>1400</v>
      </c>
    </row>
    <row r="24" spans="1:11" x14ac:dyDescent="0.3">
      <c r="A24">
        <v>23</v>
      </c>
      <c r="B24" s="1">
        <v>45737</v>
      </c>
      <c r="C24" t="s">
        <v>22</v>
      </c>
      <c r="D24" t="s">
        <v>23</v>
      </c>
      <c r="E24" t="s">
        <v>12</v>
      </c>
      <c r="F24" t="s">
        <v>13</v>
      </c>
      <c r="G24">
        <v>899</v>
      </c>
      <c r="H24">
        <v>2</v>
      </c>
      <c r="I24" t="s">
        <v>26</v>
      </c>
      <c r="J24" t="s">
        <v>15</v>
      </c>
      <c r="K24">
        <f>retail[[#This Row],[Prezzo (€)]]*retail[[#This Row],[Quantità]]</f>
        <v>1798</v>
      </c>
    </row>
    <row r="25" spans="1:11" x14ac:dyDescent="0.3">
      <c r="A25">
        <v>24</v>
      </c>
      <c r="B25" s="1">
        <v>45741</v>
      </c>
      <c r="C25" t="s">
        <v>27</v>
      </c>
      <c r="D25" t="s">
        <v>28</v>
      </c>
      <c r="E25" t="s">
        <v>29</v>
      </c>
      <c r="F25" t="s">
        <v>37</v>
      </c>
      <c r="G25">
        <v>80</v>
      </c>
      <c r="H25">
        <v>4</v>
      </c>
      <c r="I25" t="s">
        <v>31</v>
      </c>
      <c r="J25" t="s">
        <v>32</v>
      </c>
      <c r="K25">
        <f>retail[[#This Row],[Prezzo (€)]]*retail[[#This Row],[Quantità]]</f>
        <v>320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8024-55E7-4931-95AB-1FCC92660AB4}">
  <dimension ref="D1:N6"/>
  <sheetViews>
    <sheetView tabSelected="1" topLeftCell="A3" zoomScaleNormal="100" workbookViewId="0">
      <selection activeCell="L6" sqref="L6"/>
    </sheetView>
  </sheetViews>
  <sheetFormatPr defaultRowHeight="14.4" x14ac:dyDescent="0.3"/>
  <cols>
    <col min="6" max="6" width="8.109375" bestFit="1" customWidth="1"/>
    <col min="12" max="12" width="14.88671875" bestFit="1" customWidth="1"/>
  </cols>
  <sheetData>
    <row r="1" spans="4:14" ht="26.4" thickBot="1" x14ac:dyDescent="0.55000000000000004">
      <c r="D1" s="7" t="s">
        <v>44</v>
      </c>
      <c r="E1" s="7"/>
      <c r="F1" s="7"/>
      <c r="G1" s="7"/>
      <c r="H1" s="7"/>
      <c r="I1" s="7"/>
      <c r="J1" s="7"/>
      <c r="K1" s="7"/>
      <c r="L1" s="7"/>
      <c r="M1" s="7"/>
      <c r="N1" s="7"/>
    </row>
    <row r="2" spans="4:14" ht="15" thickTop="1" x14ac:dyDescent="0.3"/>
    <row r="5" spans="4:14" ht="23.4" x14ac:dyDescent="0.45">
      <c r="F5" s="4" t="s">
        <v>2</v>
      </c>
      <c r="L5" s="4" t="s">
        <v>4</v>
      </c>
    </row>
    <row r="6" spans="4:14" x14ac:dyDescent="0.3">
      <c r="F6" s="6" t="s">
        <v>27</v>
      </c>
      <c r="L6" s="6" t="s">
        <v>12</v>
      </c>
    </row>
  </sheetData>
  <sheetProtection sheet="1" objects="1" scenarios="1" selectLockedCells="1"/>
  <mergeCells count="1">
    <mergeCell ref="D1:N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3774EB-4C13-4AD2-88C5-E8E8ED202E22}">
          <x14:formula1>
            <xm:f>Città!$D$2:$D$5</xm:f>
          </x14:formula1>
          <xm:sqref>F6</xm:sqref>
        </x14:dataValidation>
        <x14:dataValidation type="list" allowBlank="1" showInputMessage="1" showErrorMessage="1" xr:uid="{FA61FAEB-159F-4AE7-A63F-13E5CB21661F}">
          <x14:formula1>
            <xm:f>Categoria!$E$2:$E$5</xm:f>
          </x14:formula1>
          <xm:sqref>L6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AECC-6D1D-4BBD-A53F-4CBDF013C98A}">
  <dimension ref="A1:C5"/>
  <sheetViews>
    <sheetView workbookViewId="0">
      <selection activeCell="E3" sqref="E3"/>
    </sheetView>
  </sheetViews>
  <sheetFormatPr defaultRowHeight="14.4" x14ac:dyDescent="0.3"/>
  <sheetData>
    <row r="1" spans="1:3" x14ac:dyDescent="0.3">
      <c r="A1" t="s">
        <v>46</v>
      </c>
    </row>
    <row r="2" spans="1:3" x14ac:dyDescent="0.3">
      <c r="A2" t="str" cm="1">
        <f t="array" ref="A2:A4">_xlfn.UNIQUE(retail[Metodo_Pagamento])</f>
        <v>Carta</v>
      </c>
      <c r="B2">
        <f>COUNTIFS(retail[Metodo_Pagamento],A2,retail[Città],città,retail[Categoria],categoria)</f>
        <v>0</v>
      </c>
      <c r="C2" s="5">
        <f>B2/$B$5</f>
        <v>0</v>
      </c>
    </row>
    <row r="3" spans="1:3" x14ac:dyDescent="0.3">
      <c r="A3" t="str">
        <v>Online</v>
      </c>
      <c r="B3">
        <f>COUNTIFS(retail[Metodo_Pagamento],A3,retail[Città],città,retail[Categoria],categoria)</f>
        <v>0</v>
      </c>
      <c r="C3" s="5">
        <f t="shared" ref="C3:C4" si="0">B3/$B$5</f>
        <v>0</v>
      </c>
    </row>
    <row r="4" spans="1:3" x14ac:dyDescent="0.3">
      <c r="A4" t="str">
        <v>Contanti</v>
      </c>
      <c r="B4">
        <f>COUNTIFS(retail[Metodo_Pagamento],A4,retail[Città],città,retail[Categoria],categoria)</f>
        <v>1</v>
      </c>
      <c r="C4" s="5">
        <f t="shared" si="0"/>
        <v>1</v>
      </c>
    </row>
    <row r="5" spans="1:3" x14ac:dyDescent="0.3">
      <c r="A5" t="s">
        <v>42</v>
      </c>
      <c r="B5">
        <f>SUM(B2:B4)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83FA-DAF3-4599-AAD8-B374D4B0C0E7}">
  <dimension ref="A1:G11"/>
  <sheetViews>
    <sheetView workbookViewId="0">
      <selection activeCell="A13" sqref="A13"/>
    </sheetView>
  </sheetViews>
  <sheetFormatPr defaultRowHeight="14.4" x14ac:dyDescent="0.3"/>
  <cols>
    <col min="1" max="1" width="13.44140625" bestFit="1" customWidth="1"/>
  </cols>
  <sheetData>
    <row r="1" spans="1:7" x14ac:dyDescent="0.3">
      <c r="A1" t="s">
        <v>45</v>
      </c>
    </row>
    <row r="2" spans="1:7" x14ac:dyDescent="0.3">
      <c r="A2" t="str" cm="1">
        <f t="array" ref="A2:A5">_xlfn.UNIQUE(retail[Città])</f>
        <v>Bari</v>
      </c>
      <c r="B2">
        <f>COUNTIFS(retail[Città],A2,retail[Categoria],categoria)</f>
        <v>2</v>
      </c>
      <c r="D2" t="str" cm="1">
        <f t="array" ref="D2:E5">_xlfn._xlws.SORT(A2:B5,2,-1)</f>
        <v>Bari</v>
      </c>
      <c r="E2">
        <v>2</v>
      </c>
      <c r="G2">
        <f>_xlfn.XLOOKUP(città,D2:D5,E2:E5)</f>
        <v>1</v>
      </c>
    </row>
    <row r="3" spans="1:7" x14ac:dyDescent="0.3">
      <c r="A3" t="str">
        <v>Roma</v>
      </c>
      <c r="B3">
        <f>COUNTIFS(retail[Città],A3,retail[Categoria],categoria)</f>
        <v>2</v>
      </c>
      <c r="D3" t="str">
        <v>Roma</v>
      </c>
      <c r="E3">
        <v>2</v>
      </c>
    </row>
    <row r="4" spans="1:7" x14ac:dyDescent="0.3">
      <c r="A4" t="str">
        <v>Milano</v>
      </c>
      <c r="B4">
        <f>COUNTIFS(retail[Città],A4,retail[Categoria],categoria)</f>
        <v>2</v>
      </c>
      <c r="D4" t="str">
        <v>Milano</v>
      </c>
      <c r="E4">
        <v>2</v>
      </c>
    </row>
    <row r="5" spans="1:7" x14ac:dyDescent="0.3">
      <c r="A5" t="str">
        <v>Napoli</v>
      </c>
      <c r="B5">
        <f>COUNTIFS(retail[Città],A5,retail[Categoria],categoria)</f>
        <v>1</v>
      </c>
      <c r="D5" t="str">
        <v>Napoli</v>
      </c>
      <c r="E5">
        <v>1</v>
      </c>
    </row>
    <row r="9" spans="1:7" x14ac:dyDescent="0.3">
      <c r="A9" t="str" cm="1">
        <f t="array" ref="A9:A11">_xlfn.UNIQUE(PROPER(TEXT(retail[Data],"mmmm")))</f>
        <v>Gennaio</v>
      </c>
      <c r="B9">
        <f>COUNTIFS(retail[Data],"&gt;=01/01/2025",retail[Data],"&lt;=31/01/2025",retail[Città],città,retail[Categoria],categoria)</f>
        <v>0</v>
      </c>
    </row>
    <row r="10" spans="1:7" x14ac:dyDescent="0.3">
      <c r="A10" t="str">
        <v>Febbraio</v>
      </c>
      <c r="B10">
        <f>COUNTIFS(retail[Data],"&gt;=01/02/2025",retail[Data],"&lt;=28/02/2025",retail[Città],città,retail[Categoria],categoria)</f>
        <v>0</v>
      </c>
    </row>
    <row r="11" spans="1:7" x14ac:dyDescent="0.3">
      <c r="A11" t="str">
        <v>Marzo</v>
      </c>
      <c r="B11">
        <f>COUNTIFS(retail[Data],"&gt;=01/03/2025",retail[Data],"&lt;=31/03/2025",retail[Città],città,retail[Categoria],categoria)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B346-21A9-4E78-AFA7-C49083FD7684}">
  <dimension ref="A1:I19"/>
  <sheetViews>
    <sheetView workbookViewId="0">
      <selection activeCell="K18" sqref="K18"/>
    </sheetView>
  </sheetViews>
  <sheetFormatPr defaultRowHeight="14.4" x14ac:dyDescent="0.3"/>
  <cols>
    <col min="1" max="1" width="10.77734375" bestFit="1" customWidth="1"/>
  </cols>
  <sheetData>
    <row r="1" spans="1:9" x14ac:dyDescent="0.3">
      <c r="A1" t="s">
        <v>4</v>
      </c>
    </row>
    <row r="2" spans="1:9" x14ac:dyDescent="0.3">
      <c r="A2" t="str" cm="1">
        <f t="array" ref="A2:A5">_xlfn.UNIQUE(retail[Categoria])</f>
        <v>Smartphone</v>
      </c>
      <c r="B2">
        <f>SUMIF(retail[Categoria],A2,retail[Quantità])</f>
        <v>14</v>
      </c>
      <c r="E2" t="str" cm="1">
        <f t="array" ref="E2:F5">_xlfn._xlws.SORT(A2:B5,2,-1)</f>
        <v>Accessori</v>
      </c>
      <c r="F2">
        <v>27</v>
      </c>
      <c r="I2">
        <f>_xlfn.XLOOKUP(categoria,E2:E5,F2:F5)</f>
        <v>14</v>
      </c>
    </row>
    <row r="3" spans="1:9" x14ac:dyDescent="0.3">
      <c r="A3" t="str">
        <v>Laptop</v>
      </c>
      <c r="B3">
        <f>SUMIF(retail[Categoria],A3,retail[Quantità])</f>
        <v>7</v>
      </c>
      <c r="E3" t="str">
        <v>Smartphone</v>
      </c>
      <c r="F3">
        <v>14</v>
      </c>
    </row>
    <row r="4" spans="1:9" x14ac:dyDescent="0.3">
      <c r="A4" t="str">
        <v>Tablet</v>
      </c>
      <c r="B4">
        <f>SUMIF(retail[Categoria],A4,retail[Quantità])</f>
        <v>10</v>
      </c>
      <c r="E4" t="str">
        <v>Tablet</v>
      </c>
      <c r="F4">
        <v>10</v>
      </c>
    </row>
    <row r="5" spans="1:9" x14ac:dyDescent="0.3">
      <c r="A5" t="str">
        <v>Accessori</v>
      </c>
      <c r="B5">
        <f>SUMIF(retail[Categoria],A5,retail[Quantità])</f>
        <v>27</v>
      </c>
      <c r="E5" t="str">
        <v>Laptop</v>
      </c>
      <c r="F5">
        <v>7</v>
      </c>
    </row>
    <row r="9" spans="1:9" x14ac:dyDescent="0.3">
      <c r="A9" t="str" cm="1">
        <f t="array" ref="A9:A12">_xlfn.UNIQUE(retail[Categoria])</f>
        <v>Smartphone</v>
      </c>
      <c r="B9">
        <f>SUMIFS(retail[Quantità],retail[Categoria],A9,retail[Città],città)</f>
        <v>3</v>
      </c>
      <c r="E9" t="str" cm="1">
        <f t="array" ref="E9:F12">_xlfn._xlws.SORT(A9:B12,2,-1)</f>
        <v>Accessori</v>
      </c>
      <c r="F9">
        <v>9</v>
      </c>
      <c r="I9">
        <f>_xlfn.XLOOKUP(categoria,E9:E12,F9:F12)</f>
        <v>3</v>
      </c>
    </row>
    <row r="10" spans="1:9" x14ac:dyDescent="0.3">
      <c r="A10" t="str">
        <v>Laptop</v>
      </c>
      <c r="B10">
        <f>SUMIFS(retail[Quantità],retail[Categoria],A10,retail[Città],città)</f>
        <v>1</v>
      </c>
      <c r="E10" t="str">
        <v>Smartphone</v>
      </c>
      <c r="F10">
        <v>3</v>
      </c>
    </row>
    <row r="11" spans="1:9" x14ac:dyDescent="0.3">
      <c r="A11" t="str">
        <v>Tablet</v>
      </c>
      <c r="B11">
        <f>SUMIFS(retail[Quantità],retail[Categoria],A11,retail[Città],città)</f>
        <v>3</v>
      </c>
      <c r="E11" t="str">
        <v>Tablet</v>
      </c>
      <c r="F11">
        <v>3</v>
      </c>
    </row>
    <row r="12" spans="1:9" x14ac:dyDescent="0.3">
      <c r="A12" t="str">
        <v>Accessori</v>
      </c>
      <c r="B12">
        <f>SUMIFS(retail[Quantità],retail[Categoria],A12,retail[Città],città)</f>
        <v>9</v>
      </c>
      <c r="E12" t="str">
        <v>Laptop</v>
      </c>
      <c r="F12">
        <v>1</v>
      </c>
    </row>
    <row r="16" spans="1:9" x14ac:dyDescent="0.3">
      <c r="A16" t="str" cm="1">
        <f t="array" ref="A16:A19">_xlfn.UNIQUE(retail[Categoria])</f>
        <v>Smartphone</v>
      </c>
      <c r="B16">
        <f>COUNTIFS(retail[Categoria],A16,retail[Città],città)</f>
        <v>1</v>
      </c>
      <c r="E16" t="str" cm="1">
        <f t="array" ref="E16:F19">_xlfn._xlws.SORT(A16:B19,2,-1)</f>
        <v>Tablet</v>
      </c>
      <c r="F16">
        <v>2</v>
      </c>
      <c r="G16" cm="1">
        <f t="array" ref="G16">IF($E16&lt;&gt;categoria,$F16,_xludf.NA())</f>
        <v>2</v>
      </c>
      <c r="H16" t="e" cm="1">
        <f t="array" aca="1" ref="H16" ca="1">IF($E16=categoria,$F$16,_xludf.NA())</f>
        <v>#NAME?</v>
      </c>
    </row>
    <row r="17" spans="1:8" x14ac:dyDescent="0.3">
      <c r="A17" t="str">
        <v>Laptop</v>
      </c>
      <c r="B17">
        <f>COUNTIFS(retail[Categoria],A17,retail[Città],città)</f>
        <v>1</v>
      </c>
      <c r="E17" t="str">
        <v>Accessori</v>
      </c>
      <c r="F17">
        <v>2</v>
      </c>
      <c r="G17" cm="1">
        <f t="array" ref="G17">IF($E17&lt;&gt;categoria,$F17,_xludf.NA())</f>
        <v>2</v>
      </c>
      <c r="H17" t="e" cm="1">
        <f t="array" aca="1" ref="H17" ca="1">IF($E17=categoria,$F$16,_xludf.NA())</f>
        <v>#NAME?</v>
      </c>
    </row>
    <row r="18" spans="1:8" x14ac:dyDescent="0.3">
      <c r="A18" t="str">
        <v>Tablet</v>
      </c>
      <c r="B18">
        <f>COUNTIFS(retail[Categoria],A18,retail[Città],città)</f>
        <v>2</v>
      </c>
      <c r="E18" t="str">
        <v>Smartphone</v>
      </c>
      <c r="F18">
        <v>1</v>
      </c>
      <c r="G18" t="e" cm="1">
        <f t="array" aca="1" ref="G18" ca="1">IF($E18&lt;&gt;categoria,$F18,_xludf.NA())</f>
        <v>#NAME?</v>
      </c>
      <c r="H18" cm="1">
        <f t="array" ref="H18">IF($E18=categoria,$F$16,_xludf.NA())</f>
        <v>2</v>
      </c>
    </row>
    <row r="19" spans="1:8" x14ac:dyDescent="0.3">
      <c r="A19" t="str">
        <v>Accessori</v>
      </c>
      <c r="B19">
        <f>COUNTIFS(retail[Categoria],A19,retail[Città],città)</f>
        <v>2</v>
      </c>
      <c r="E19" t="str">
        <v>Laptop</v>
      </c>
      <c r="F19">
        <v>1</v>
      </c>
      <c r="G19" cm="1">
        <f t="array" ref="G19">IF($E19&lt;&gt;categoria,$F19,_xludf.NA())</f>
        <v>1</v>
      </c>
      <c r="H19" t="e" cm="1">
        <f t="array" aca="1" ref="H19" ca="1">IF($E19=categoria,$F$16,_xludf.NA())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9C45-7999-4413-9E66-B808CDEE9CC2}">
  <dimension ref="A1:H12"/>
  <sheetViews>
    <sheetView workbookViewId="0">
      <selection activeCell="F9" activeCellId="1" sqref="D9:D12 F9:G12"/>
    </sheetView>
  </sheetViews>
  <sheetFormatPr defaultRowHeight="14.4" x14ac:dyDescent="0.3"/>
  <cols>
    <col min="4" max="4" width="9.21875" bestFit="1" customWidth="1"/>
    <col min="8" max="8" width="11.44140625" bestFit="1" customWidth="1"/>
  </cols>
  <sheetData>
    <row r="1" spans="1:8" x14ac:dyDescent="0.3">
      <c r="A1" t="s">
        <v>2</v>
      </c>
    </row>
    <row r="2" spans="1:8" x14ac:dyDescent="0.3">
      <c r="A2" t="str" cm="1">
        <f t="array" ref="A2:A5">_xlfn.UNIQUE(retail[Città])</f>
        <v>Bari</v>
      </c>
      <c r="B2">
        <f>SUMIFS(retail[Fatturato],retail[Città],A2,retail[Categoria],categoria)</f>
        <v>3498</v>
      </c>
      <c r="D2" t="str" cm="1">
        <f t="array" ref="D2:E5">_xlfn._xlws.SORT(A2:B5,2,-1)</f>
        <v>Bari</v>
      </c>
      <c r="E2">
        <v>3498</v>
      </c>
      <c r="H2" s="3">
        <f>_xlfn.XLOOKUP(città,D2:D5,E2:E5)</f>
        <v>2550</v>
      </c>
    </row>
    <row r="3" spans="1:8" x14ac:dyDescent="0.3">
      <c r="A3" t="str">
        <v>Roma</v>
      </c>
      <c r="B3">
        <f>SUMIFS(retail[Fatturato],retail[Città],A3,retail[Categoria],categoria)</f>
        <v>2599</v>
      </c>
      <c r="D3" t="str">
        <v>Milano</v>
      </c>
      <c r="E3">
        <v>3396</v>
      </c>
    </row>
    <row r="4" spans="1:8" x14ac:dyDescent="0.3">
      <c r="A4" t="str">
        <v>Milano</v>
      </c>
      <c r="B4">
        <f>SUMIFS(retail[Fatturato],retail[Città],A4,retail[Categoria],categoria)</f>
        <v>3396</v>
      </c>
      <c r="D4" t="str">
        <v>Roma</v>
      </c>
      <c r="E4">
        <v>2599</v>
      </c>
    </row>
    <row r="5" spans="1:8" x14ac:dyDescent="0.3">
      <c r="A5" t="str">
        <v>Napoli</v>
      </c>
      <c r="B5">
        <f>SUMIFS(retail[Fatturato],retail[Città],A5,retail[Categoria],categoria)</f>
        <v>2550</v>
      </c>
      <c r="D5" t="str">
        <v>Napoli</v>
      </c>
      <c r="E5">
        <v>2550</v>
      </c>
    </row>
    <row r="9" spans="1:8" x14ac:dyDescent="0.3">
      <c r="A9" t="str" cm="1">
        <f t="array" ref="A9:A12">_xlfn.UNIQUE(retail[Città])</f>
        <v>Bari</v>
      </c>
      <c r="B9">
        <f>COUNTIFS(retail[Città],A9,retail[Categoria],categoria)</f>
        <v>2</v>
      </c>
      <c r="D9" t="str" cm="1">
        <f t="array" ref="D9:E12">_xlfn._xlws.SORT(A9:B12,2,-1)</f>
        <v>Bari</v>
      </c>
      <c r="E9">
        <v>2</v>
      </c>
      <c r="F9" cm="1">
        <f t="array" ref="F9">IF($D9&lt;&gt;città,$E9,_xludf.NA())</f>
        <v>2</v>
      </c>
      <c r="G9" t="e" cm="1">
        <f t="array" aca="1" ref="G9" ca="1">IF($D9=città,$E9,_xludf.NA())</f>
        <v>#NAME?</v>
      </c>
    </row>
    <row r="10" spans="1:8" x14ac:dyDescent="0.3">
      <c r="A10" t="str">
        <v>Roma</v>
      </c>
      <c r="B10">
        <f>COUNTIFS(retail[Città],A10,retail[Categoria],categoria)</f>
        <v>2</v>
      </c>
      <c r="D10" t="str">
        <v>Roma</v>
      </c>
      <c r="E10">
        <v>2</v>
      </c>
      <c r="F10" cm="1">
        <f t="array" ref="F10">IF($D10&lt;&gt;città,$E10,_xludf.NA())</f>
        <v>2</v>
      </c>
      <c r="G10" t="e" cm="1">
        <f t="array" aca="1" ref="G10" ca="1">IF($D10=città,$E10,_xludf.NA())</f>
        <v>#NAME?</v>
      </c>
    </row>
    <row r="11" spans="1:8" x14ac:dyDescent="0.3">
      <c r="A11" t="str">
        <v>Milano</v>
      </c>
      <c r="B11">
        <f>COUNTIFS(retail[Città],A11,retail[Categoria],categoria)</f>
        <v>2</v>
      </c>
      <c r="D11" t="str">
        <v>Milano</v>
      </c>
      <c r="E11">
        <v>2</v>
      </c>
      <c r="F11" cm="1">
        <f t="array" ref="F11">IF($D11&lt;&gt;città,$E11,_xludf.NA())</f>
        <v>2</v>
      </c>
      <c r="G11" t="e" cm="1">
        <f t="array" aca="1" ref="G11" ca="1">IF($D11=città,$E11,_xludf.NA())</f>
        <v>#NAME?</v>
      </c>
    </row>
    <row r="12" spans="1:8" x14ac:dyDescent="0.3">
      <c r="A12" t="str">
        <v>Napoli</v>
      </c>
      <c r="B12">
        <f>COUNTIFS(retail[Città],A12,retail[Categoria],categoria)</f>
        <v>1</v>
      </c>
      <c r="D12" t="str">
        <v>Napoli</v>
      </c>
      <c r="E12">
        <v>1</v>
      </c>
      <c r="F12" t="e" cm="1">
        <f t="array" aca="1" ref="F12" ca="1">IF($D12&lt;&gt;città,$E12,_xludf.NA())</f>
        <v>#NAME?</v>
      </c>
      <c r="G12" cm="1">
        <f t="array" ref="G12">IF($D12=città,$E12,_xludf.NA())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5</vt:i4>
      </vt:variant>
    </vt:vector>
  </HeadingPairs>
  <TitlesOfParts>
    <vt:vector size="11" baseType="lpstr">
      <vt:lpstr>Dati</vt:lpstr>
      <vt:lpstr>Dashboard</vt:lpstr>
      <vt:lpstr>Metodo pagamento</vt:lpstr>
      <vt:lpstr>Vendite</vt:lpstr>
      <vt:lpstr>Categoria</vt:lpstr>
      <vt:lpstr>Città</vt:lpstr>
      <vt:lpstr>categoria</vt:lpstr>
      <vt:lpstr>città</vt:lpstr>
      <vt:lpstr>fatturatotot</vt:lpstr>
      <vt:lpstr>quantitàvenduta</vt:lpstr>
      <vt:lpstr>vendite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Izzi</dc:creator>
  <cp:lastModifiedBy>Riccardo Izzi</cp:lastModifiedBy>
  <cp:lastPrinted>2026-04-22T17:46:06Z</cp:lastPrinted>
  <dcterms:created xsi:type="dcterms:W3CDTF">2026-04-22T10:04:19Z</dcterms:created>
  <dcterms:modified xsi:type="dcterms:W3CDTF">2026-04-22T17:46:27Z</dcterms:modified>
</cp:coreProperties>
</file>